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Identificação" sheetId="2" r:id="rId6"/>
    <sheet state="visible" name="1 Fontes" sheetId="3" r:id="rId7"/>
    <sheet state="visible" name="2 Formatos" sheetId="4" r:id="rId8"/>
    <sheet state="visible" name="3 Modelos" sheetId="5" r:id="rId9"/>
    <sheet state="visible" name="4 Cargas e Engines" sheetId="6" r:id="rId10"/>
    <sheet state="visible" name="5 Pipeline" sheetId="7" r:id="rId11"/>
    <sheet state="visible" name="ADR" sheetId="8" r:id="rId12"/>
    <sheet state="visible" name="Riscos" sheetId="9" r:id="rId13"/>
  </sheets>
  <definedNames/>
  <calcPr/>
</workbook>
</file>

<file path=xl/sharedStrings.xml><?xml version="1.0" encoding="utf-8"?>
<sst xmlns="http://schemas.openxmlformats.org/spreadsheetml/2006/main" count="585" uniqueCount="482">
  <si>
    <t>Identificação do projeto e da equipe</t>
  </si>
  <si>
    <t>Engenharia de Dados aplicada ao seu projeto — BD2 / FCTE-UnB</t>
  </si>
  <si>
    <t>Bloco 1 — Inventário de fontes de dados do projeto</t>
  </si>
  <si>
    <t>Bloco 2 — Formatos de armazenamento e serialização</t>
  </si>
  <si>
    <t>Preencha antes de começar as demais abas.</t>
  </si>
  <si>
    <t>Uma linha por fonte. Se a equipe não souber responder vazão, pureza e previsibilidade, ainda não dá para desenhar o pipeline.</t>
  </si>
  <si>
    <t>Campo</t>
  </si>
  <si>
    <t>Resposta da equipe</t>
  </si>
  <si>
    <t>Observação / o que se espera</t>
  </si>
  <si>
    <t>Nome do projeto</t>
  </si>
  <si>
    <t>Linha 6 = exemplo fictício (não apague). Preencha a partir da linha 7.</t>
  </si>
  <si>
    <t>Plataforma CEAP — Gastos Parlamentares (Câmara dos Deputados)</t>
  </si>
  <si>
    <t>Como o projeto é chamado.</t>
  </si>
  <si>
    <t>Uma linha por conjunto de dados que o projeto grava. A coluna de justificativa é a que vale nota.</t>
  </si>
  <si>
    <t>Nº</t>
  </si>
  <si>
    <t>Nome da fonte</t>
  </si>
  <si>
    <t>Tipo
(usuário | sistema | interna | terceiro)</t>
  </si>
  <si>
    <t>Quem ou o que gera</t>
  </si>
  <si>
    <t>O que essa fonte contém</t>
  </si>
  <si>
    <t>Formato em que chega
(JSON, CSV, formulário, API…)</t>
  </si>
  <si>
    <t>Volume estimado
(por dia ou por mês)</t>
  </si>
  <si>
    <t>Equipe (nomes completos)</t>
  </si>
  <si>
    <t>Frequência de chegada
(tempo real | horária | diária | eventual)</t>
  </si>
  <si>
    <t>Vazão
(alta | média | baixa)</t>
  </si>
  <si>
    <t>Filipe Carvalho, Taynara Vitorino, Gabriel Esteves, Maria Clara Alves, Kaio Macedo, Amanda Gonçalves</t>
  </si>
  <si>
    <t>Pureza
(alta | média | baixa)</t>
  </si>
  <si>
    <t>Previsibilidade do formato
(alta | média | baixa)</t>
  </si>
  <si>
    <t>Contém dado pessoal?
(sim | não)</t>
  </si>
  <si>
    <t>Base legal LGPD
(se contém dado pessoal)</t>
  </si>
  <si>
    <t>Retenção
(por quanto tempo guardar)</t>
  </si>
  <si>
    <t>Todos os integrantes.</t>
  </si>
  <si>
    <t>O que quebra se essa fonte falhar</t>
  </si>
  <si>
    <t>Disciplina / turma / semestre</t>
  </si>
  <si>
    <t>1</t>
  </si>
  <si>
    <t>Sistemas de Banco de Dados 2 — Turma 01 — 2026/2 (FCTE / UnB)</t>
  </si>
  <si>
    <t>Em uma frase, o que o sistema faz</t>
  </si>
  <si>
    <t>Permite consultar, filtrar e analisar em segundos a evolução e o desvio de gastos da Cota Parlamentar (CEAP) por deputado, partido e fornecedor na 57ª Legislatura.</t>
  </si>
  <si>
    <t>Sem jargão. Uma frase.</t>
  </si>
  <si>
    <t>Registro de empréstimo</t>
  </si>
  <si>
    <t>usuário</t>
  </si>
  <si>
    <t>Planilha de acompanhamento. Preencha a partir do projeto que a sua equipe está desenvolvendo.</t>
  </si>
  <si>
    <t>Estudante no aplicativo</t>
  </si>
  <si>
    <t>Matrícula, bicicleta, horário de retirada e de devolução</t>
  </si>
  <si>
    <t>Formulário do app (JSON)</t>
  </si>
  <si>
    <t>~400 registros/dia</t>
  </si>
  <si>
    <t>tempo real</t>
  </si>
  <si>
    <t>Problema que ele resolve</t>
  </si>
  <si>
    <t>média</t>
  </si>
  <si>
    <t>Os dados brutos da Cota Parlamentar são publicados em arquivos CSV gigantescos (centenas de milhares de linhas por ano) e inconsistentes, inviabilizando consultas rápidas e fiscalização cidadã direta sem conhecimento de programação.</t>
  </si>
  <si>
    <t>alta</t>
  </si>
  <si>
    <t>sim</t>
  </si>
  <si>
    <t>Execução de contrato (art. 7º, V)</t>
  </si>
  <si>
    <t>5 anos (regra da prefeitura do campus)</t>
  </si>
  <si>
    <t>Ninguém consegue retirar bicicleta; o sistema perde a função principal</t>
  </si>
  <si>
    <t>Quem usa o sistema</t>
  </si>
  <si>
    <t>Cidadãos, eleitores, jornalistas investigativos, pesquisadores e órgãos de controle social.</t>
  </si>
  <si>
    <t>Os atores principais.</t>
  </si>
  <si>
    <t>Repositório / link do projeto</t>
  </si>
  <si>
    <t>https://github.com/taybalau/sbd2-g8-ceap</t>
  </si>
  <si>
    <t>CEAP — Cota Parlamentar (Arquivo Anual Consolidado)</t>
  </si>
  <si>
    <t>terceiro</t>
  </si>
  <si>
    <t>Câmara dos Deputados (Portal de Dados Abertos)</t>
  </si>
  <si>
    <t>Despesas detalhadas com a cota: deputado, CNPJ/fornecedor, subcota, nota fiscal, datas, valores (documento, glosa, líquido), número do lote e link do documento</t>
  </si>
  <si>
    <t>CSV (compactado em ZIP, delimitado por ponto e vírgula)</t>
  </si>
  <si>
    <t>Data de preenchimento</t>
  </si>
  <si>
    <t>Conjunto de dados</t>
  </si>
  <si>
    <t>~18.000 a 20.000 registros/mês (~230.000 registros/ano)</t>
  </si>
  <si>
    <t>27/09/2026</t>
  </si>
  <si>
    <t>eventual</t>
  </si>
  <si>
    <t>Fonte de origem
(nº da aba 1)</t>
  </si>
  <si>
    <t>Formato atual</t>
  </si>
  <si>
    <t>Cumprimento de obrigação legal / Princípio da Publicidade (Art. 7º, II c/c Art. 23 da LGPD)</t>
  </si>
  <si>
    <t>Permanente (dado público de transparência ativa)</t>
  </si>
  <si>
    <t>Texto ou binário</t>
  </si>
  <si>
    <t>Versão deste documento</t>
  </si>
  <si>
    <t>1.0 (Entrega E1)</t>
  </si>
  <si>
    <t>Atualize a cada revisão.</t>
  </si>
  <si>
    <t>Orientação
(linha | coluna | não se aplica)</t>
  </si>
  <si>
    <t>Tamanho estimado
(em 1 ano)</t>
  </si>
  <si>
    <t>Como é lido
(registro inteiro | poucas colunas | busca por chave)</t>
  </si>
  <si>
    <t>Frequência de leitura</t>
  </si>
  <si>
    <t>Formato proposto</t>
  </si>
  <si>
    <t>API de Deputados e Gabinetes (Câmara)</t>
  </si>
  <si>
    <t>Justificativa da escolha</t>
  </si>
  <si>
    <t>API REST da Câmara dos Deputados (dadosabertos.camara.leg.br)</t>
  </si>
  <si>
    <t>COMO USAR</t>
  </si>
  <si>
    <t>Dados biográficos, legislaturas ativas, filiação partidária oficial e situação do mandato</t>
  </si>
  <si>
    <t>Ganho esperado (se houver troca)</t>
  </si>
  <si>
    <t>JSON</t>
  </si>
  <si>
    <t>~600 registros totais por legislatura</t>
  </si>
  <si>
    <t>diária</t>
  </si>
  <si>
    <t>baixa</t>
  </si>
  <si>
    <t>Cumprimento de obrigação legal (Art. 7º, II c/c Art. 23 da LGPD)</t>
  </si>
  <si>
    <t>Permanente</t>
  </si>
  <si>
    <t>Cadastro Nacional da Pessoa Jurídica (CNPJ - Receita Federal)</t>
  </si>
  <si>
    <t>Receita Federal do Brasil (Dados Públicos CNPJ)</t>
  </si>
  <si>
    <t>Razão social, nome fantasia, CNAE (ramo de atividade), situação cadastral e sócios dos estabelecimentos recebedores</t>
  </si>
  <si>
    <t>CSV</t>
  </si>
  <si>
    <t>Lookup sob demanda para os ~55.000 fornecedores identificados</t>
  </si>
  <si>
    <t>Histórico de empréstimos</t>
  </si>
  <si>
    <t>não</t>
  </si>
  <si>
    <t>Legítimo interesse e transparência pública (Art. 7º, IX da LGPD)</t>
  </si>
  <si>
    <t>CSV exportado do banco</t>
  </si>
  <si>
    <t>5 anos</t>
  </si>
  <si>
    <t>texto</t>
  </si>
  <si>
    <t>linha</t>
  </si>
  <si>
    <t>~1,2 GB</t>
  </si>
  <si>
    <t>Portal da Transparência do Governo Federal (CEIS / CNEP)</t>
  </si>
  <si>
    <t>Controladoria-Geral da União (CGU)</t>
  </si>
  <si>
    <t>poucas colunas (data e duração) sobre milhões de linhas</t>
  </si>
  <si>
    <t>Cadastro de Empresas Inidôneas e Suspensas e Cadastro Nacional de Empresas Punidas</t>
  </si>
  <si>
    <t>API / CSV</t>
  </si>
  <si>
    <t>semanal, para relatórios</t>
  </si>
  <si>
    <t>~100 consultas/semana de auditoria cruzada</t>
  </si>
  <si>
    <t>Parquet</t>
  </si>
  <si>
    <t>A análise só usa 3 de 14 colunas; formato colunar evita ler o resto e comprime valores repetidos</t>
  </si>
  <si>
    <t>Obrigação legal / Controle e fiscalização pública</t>
  </si>
  <si>
    <t>Leitura estimada 6x mais rápida e ~70% menos disco</t>
  </si>
  <si>
    <t>Uma aba por bloco da aula</t>
  </si>
  <si>
    <t>As abas 1 a 5 seguem exatamente os cinco blocos da apresentação: fontes, formatos, modelos, cargas/engines e pipeline.</t>
  </si>
  <si>
    <t>Histórico Bruto da CEAP (Arquivos Anuais)</t>
  </si>
  <si>
    <t>CSV comprimido em ZIP</t>
  </si>
  <si>
    <t>~265 MB (~75 MB/ano comprimido)</t>
  </si>
  <si>
    <t>Preencha as células em amarelo claro</t>
  </si>
  <si>
    <t>poucas colunas sobre muitos registros (agrupamentos de valores)</t>
  </si>
  <si>
    <t>Só elas esperam resposta. Cabeçalhos e exemplos não devem ser alterados.</t>
  </si>
  <si>
    <t>mensal (na ingestão)</t>
  </si>
  <si>
    <t>Parquet (Data Lake E2) / PostgreSQL (OLTP E1)</t>
  </si>
  <si>
    <t>CSV é ótimo para exportação pública, mas ineficiente para agregação. O formato colunar Parquet compacta repetições de nomes de deputados e partidos, reduzindo leitura em disco.</t>
  </si>
  <si>
    <t>Redução de ~75% no espaço em disco e aceleração de 5x a 10x em consultas analíticas.</t>
  </si>
  <si>
    <t>A primeira linha de cada tabela é um EXEMPLO</t>
  </si>
  <si>
    <t>Está em cinza itálico, é fictícia e serve para mostrar o nível de detalhe esperado. Não apague — use como referência.</t>
  </si>
  <si>
    <t>Base Transacional de Despesas (OLTP)</t>
  </si>
  <si>
    <t>Acrescente linhas quando precisar</t>
  </si>
  <si>
    <t>Tabelas relacionais PostgreSQL</t>
  </si>
  <si>
    <t>As tabelas vêm com espaço de sobra; se faltar, insira linhas antes da última.</t>
  </si>
  <si>
    <t>binário</t>
  </si>
  <si>
    <t>~350 MB (tabelas + índices)</t>
  </si>
  <si>
    <t>registro inteiro ou busca por chave (id_deputado, documento)</t>
  </si>
  <si>
    <t>diária / frequente</t>
  </si>
  <si>
    <t>PostgreSQL (mantido)</t>
  </si>
  <si>
    <t>Permite restrições de integridade ACID estritas, integridade referencial por chave estrangeira e suporte nativo a CDC (Change Data Capture) via WAL/Debezium para a E2.</t>
  </si>
  <si>
    <t>Justificativa vale mais que ferramenta</t>
  </si>
  <si>
    <t>Garantia de consistência contábil absoluta e suporte a transações concorrentes.</t>
  </si>
  <si>
    <t>Em toda coluna "por quê", a resposta esperada não é o nome de um produto: é o critério que levou à escolha.</t>
  </si>
  <si>
    <t>Camada Semântica de Métricas e Agregações</t>
  </si>
  <si>
    <t>Não invente número</t>
  </si>
  <si>
    <t>1, 2</t>
  </si>
  <si>
    <t>Estimativa é aceita, desde que a coluna diga que é estimativa e como foi obtida.</t>
  </si>
  <si>
    <t>Tabelas analíticas agregadas / visualizações SQL</t>
  </si>
  <si>
    <t>coluna</t>
  </si>
  <si>
    <t>~30 MB</t>
  </si>
  <si>
    <t>poucas colunas (médias, rankings e somas)</t>
  </si>
  <si>
    <t>constante (a cada requisição de dashboard)</t>
  </si>
  <si>
    <t>Parquet / DuckDB</t>
  </si>
  <si>
    <t>Consultas analíticas de dashboard não devem onerar o banco de produção OLTP; a camada colunar responde em milissegundos.</t>
  </si>
  <si>
    <t>Latência de resposta &lt; 50 ms para o usuário final no painel.</t>
  </si>
  <si>
    <t>LEGENDA DE CORES</t>
  </si>
  <si>
    <t>Preencha aqui</t>
  </si>
  <si>
    <t>Célula de preenchimento — é aqui que a equipe escreve.</t>
  </si>
  <si>
    <t>Dica do bloco 1: dado emitido pelo sistema mas que descreve a pessoa (cliques, tempo de uso, trajeto) é dado comportamental — conta como dado de usuário para efeito de LGPD.</t>
  </si>
  <si>
    <t>Exemplo fictício</t>
  </si>
  <si>
    <t>Linha de exemplo — não apague, use como referência.</t>
  </si>
  <si>
    <t>Cabeçalho</t>
  </si>
  <si>
    <t>Nome da coluna — não altere.</t>
  </si>
  <si>
    <t>Calculado</t>
  </si>
  <si>
    <t>Campo calculado automaticamente — não altere.</t>
  </si>
  <si>
    <t>PROGRESSO DO PREENCHIMENTO (calculado automaticamente)</t>
  </si>
  <si>
    <t>Aba</t>
  </si>
  <si>
    <t>O que a aba responde</t>
  </si>
  <si>
    <t>Linhas preenchidas</t>
  </si>
  <si>
    <t>Mínimo esperado</t>
  </si>
  <si>
    <t>Situação</t>
  </si>
  <si>
    <t>1 Fontes</t>
  </si>
  <si>
    <t>De onde vem o dado do projeto e o que a origem impõe</t>
  </si>
  <si>
    <t>Dica do bloco 2: linha favorece quem lê registros inteiros; coluna favorece quem lê poucos atributos de muitos registros. Texto é legível e volumoso; binário é compacto e opaco.</t>
  </si>
  <si>
    <t>2 Formatos</t>
  </si>
  <si>
    <t>Em que formato o dado é gravado e por quê</t>
  </si>
  <si>
    <t>3 Modelos</t>
  </si>
  <si>
    <t>Como o dado é representado (entidades e modelo escolhido)</t>
  </si>
  <si>
    <t>4 Cargas e Engines</t>
  </si>
  <si>
    <t>Que carga cada armazenamento aguenta e com que garantia</t>
  </si>
  <si>
    <t>5 Pipeline</t>
  </si>
  <si>
    <t>Como o dado vai da origem ao consumo</t>
  </si>
  <si>
    <t>Riscos</t>
  </si>
  <si>
    <t>O que derruba o pipeline e como mitigar</t>
  </si>
  <si>
    <t>ADR</t>
  </si>
  <si>
    <t>A decisão registrada com contexto e alternativas</t>
  </si>
  <si>
    <t>Abas concluídas</t>
  </si>
  <si>
    <t>Fonte dos conceitos: apresentação "Engenharia de Dados 101" (BD2), adaptada de Chip Huyen, CS 329S — Stanford. Bibliografia: Reis &amp; Housley, Fundamentos de Engenharia de Dados (Novatec, 2023); Kleppmann, Designing Data-Intensive Applications.</t>
  </si>
  <si>
    <t>Bloco 3 — Modelo de dados do projeto</t>
  </si>
  <si>
    <t>Primeiro as entidades do domínio; depois as consultas que o sistema precisa responder.</t>
  </si>
  <si>
    <t>Entidade do domínio</t>
  </si>
  <si>
    <t>O que ela representa</t>
  </si>
  <si>
    <t>Atributos principais</t>
  </si>
  <si>
    <t>Relacionamentos com outras entidades</t>
  </si>
  <si>
    <t>Identificador (chave)</t>
  </si>
  <si>
    <t>Modelo escolhido
(relacional | documento | chave-valor | grafo | série temporal | vetorial)</t>
  </si>
  <si>
    <t>Modelos descartados</t>
  </si>
  <si>
    <t>Normalizado ou desnormalizado?</t>
  </si>
  <si>
    <t>Empréstimo</t>
  </si>
  <si>
    <t>Uma retirada de bicicleta por uma pessoa</t>
  </si>
  <si>
    <t>id, matrícula, id_bicicleta, retirada, devolução, situação</t>
  </si>
  <si>
    <t>Pertence a um Usuário; refere-se a uma Bicicleta</t>
  </si>
  <si>
    <t>id_emprestimo (chave primária)</t>
  </si>
  <si>
    <t>relacional</t>
  </si>
  <si>
    <t>documento (relações são o centro do domínio)</t>
  </si>
  <si>
    <t>normalizado</t>
  </si>
  <si>
    <t>Integridade importa mais que flexibilidade: não pode existir empréstimo de bicicleta inexistente</t>
  </si>
  <si>
    <t>despesa_ceap</t>
  </si>
  <si>
    <t>Registro individual de reembolso/pagamento de cota parlamentar (Livro-Razão)</t>
  </si>
  <si>
    <t>id_despesa, ide_documento, id_deputado, id_fornecedor, num_subcota, valor_documento, valor_glosa, valor_liquido, mes_competencia, ano_competencia, data_emissao</t>
  </si>
  <si>
    <t>Refere-se a um Parlamentar, um Fornecedor, uma Categoria e uma Especificação</t>
  </si>
  <si>
    <t>id_despesa (PK surrogate) / ide_documento</t>
  </si>
  <si>
    <t>documento, grafo</t>
  </si>
  <si>
    <t>Padrão insert-only para auditoria contábil e conformidade ACID estrita sem sobrescrita de histórico.</t>
  </si>
  <si>
    <t>parlamentar</t>
  </si>
  <si>
    <t>Deputado federal ou liderança parlamentar com prerrogativa de cota</t>
  </si>
  <si>
    <t>id_deputado, nome_parlamentar, cpf, ide_cadastro, nu_carteira_parlamentar</t>
  </si>
  <si>
    <t>Possui vários Mandatos; realiza várias Despesas</t>
  </si>
  <si>
    <t>id_deputado (PK)</t>
  </si>
  <si>
    <t>chave-valor</t>
  </si>
  <si>
    <t>Evita duplicar nomes e dados biográficos em quase 800 mil registros de despesas.</t>
  </si>
  <si>
    <t>fornecedor</t>
  </si>
  <si>
    <t>Empresa ou prestador de serviço que recebeu pagamentos da cota</t>
  </si>
  <si>
    <t>id_fornecedor, cnpj_cpf, razao_social</t>
  </si>
  <si>
    <t>Emite documentos fiscais associados a várias Despesas</t>
  </si>
  <si>
    <t>id_fornecedor (PK)</t>
  </si>
  <si>
    <t>documento</t>
  </si>
  <si>
    <t>Permite agregar e ranquear fornecedores sem inconsistência de grafia de razão social.</t>
  </si>
  <si>
    <t>mandato_parlamentar</t>
  </si>
  <si>
    <t>Vínculo de representação política (partido, UF e legislatura)</t>
  </si>
  <si>
    <t>id_mandato, id_deputado, sigla_partido, sigla_uf, codigo_legislatura, ano_legislatura</t>
  </si>
  <si>
    <t>Pertence a um Parlamentar</t>
  </si>
  <si>
    <t>id_mandato (PK) / uk(id_deputado, partido, uf, leg)</t>
  </si>
  <si>
    <t>Modela a troca de partido ou estado ao longo do tempo sem sobrescrever histórico antigo.</t>
  </si>
  <si>
    <t>categoria_despesa</t>
  </si>
  <si>
    <t>Subcota orçamentária que classifica o tipo de gasto (combustível, passagens, etc.)</t>
  </si>
  <si>
    <t>num_subcota, descricao</t>
  </si>
  <si>
    <t>Classifica múltiplas Despesas; detalha-se em Especificações</t>
  </si>
  <si>
    <t>num_subcota (PK)</t>
  </si>
  <si>
    <t>Tabela de domínio estática que garante integridade na classificação contábil.</t>
  </si>
  <si>
    <t>CONSULTAS QUE O SISTEMA PRECISA RESPONDER — escreva em português, não em SQL</t>
  </si>
  <si>
    <t>Consulta em português</t>
  </si>
  <si>
    <t>Quem pergunta</t>
  </si>
  <si>
    <t>Frequência
(por dia)</t>
  </si>
  <si>
    <t>Tipo
(pontual | agregada | de percurso)</t>
  </si>
  <si>
    <t>Em que modelo ela fica fácil</t>
  </si>
  <si>
    <t>Em que modelo ela fica sofrida</t>
  </si>
  <si>
    <t>Por quê</t>
  </si>
  <si>
    <t>Onde ela aparece no projeto (tela, relatório, API)</t>
  </si>
  <si>
    <t>Observações</t>
  </si>
  <si>
    <t>Quantas bicicletas estão emprestadas agora?</t>
  </si>
  <si>
    <t>Equipe de manutenção</t>
  </si>
  <si>
    <t>~200</t>
  </si>
  <si>
    <t>agregada</t>
  </si>
  <si>
    <t>Exige contar registros com filtro — trivial com índice e SQL</t>
  </si>
  <si>
    <t>Painel da equipe de manutenção</t>
  </si>
  <si>
    <t>Precisa refletir o estado do momento</t>
  </si>
  <si>
    <t>Qual é o custo médio mensal da cota parlamentar por deputado federal?</t>
  </si>
  <si>
    <t>Cidadão / Analista de Transparência</t>
  </si>
  <si>
    <t>~100</t>
  </si>
  <si>
    <t>relacional / colunar</t>
  </si>
  <si>
    <t>Exige somar e dividir por número de meses ativos, agrupado por deputado.</t>
  </si>
  <si>
    <t>Painel de controle / API pública</t>
  </si>
  <si>
    <t>Permite identificar anomalias estatísticas de gastos.</t>
  </si>
  <si>
    <t>Quais são os parlamentares que mais e menos utilizam a Cota Parlamentar na legislatura?</t>
  </si>
  <si>
    <t>Jornalistas / Eleitores</t>
  </si>
  <si>
    <t>~500</t>
  </si>
  <si>
    <t>Agrupamento por id_deputado com ORDER BY SUM(valor_liquido) DESC / ASC.</t>
  </si>
  <si>
    <t>Página inicial do portal / Ranking de parlamentares</t>
  </si>
  <si>
    <t>Consulta central da pergunta de gestão.</t>
  </si>
  <si>
    <t>Quais empresas/fornecedores são os maiores recebedores de pagamentos da cota?</t>
  </si>
  <si>
    <t>Órgãos de controle / Sociedade civil</t>
  </si>
  <si>
    <t>GROUP BY id_fornecedor com junção simples entre despesa e fornecedor.</t>
  </si>
  <si>
    <t>Relatório de concentração econômica de fornecedores</t>
  </si>
  <si>
    <t>Mapeia risco de favorecimento ou sobrepreço.</t>
  </si>
  <si>
    <t>Qual é a categoria de despesa mais representativa (combustível, passagens, etc.)?</t>
  </si>
  <si>
    <t>Pesquisadores / Cidadãos</t>
  </si>
  <si>
    <t>~150</t>
  </si>
  <si>
    <t>Fácil em SQL agrupando por num_subcota.</t>
  </si>
  <si>
    <t>Gráfico de barras de categorias de despesa</t>
  </si>
  <si>
    <t>Ajuda a entender para onde vai a maior fatia do recurso público.</t>
  </si>
  <si>
    <t>Quanto cada partido político consome do total acumulado da cota ao longo dos anos?</t>
  </si>
  <si>
    <t>Cientistas políticos / Eleitores</t>
  </si>
  <si>
    <t>~300</t>
  </si>
  <si>
    <t>grafo</t>
  </si>
  <si>
    <t>Agrupamento por sigla_partido com somatório de valor líquido.</t>
  </si>
  <si>
    <t>Painel de partidos políticos</t>
  </si>
  <si>
    <t>Permite ponderar o gasto total pelo tamanho da bancada.</t>
  </si>
  <si>
    <t>Qual é a proporção de gastos com nota fiscal emitida em fins de semana ou feriados em comparação aos dias úteis?</t>
  </si>
  <si>
    <t>Auditoria cidadã</t>
  </si>
  <si>
    <t>~50</t>
  </si>
  <si>
    <t>Exige avaliar o dia da semana a partir de data_emissao (EXTRACT(ISODOW FROM data_emissao)).</t>
  </si>
  <si>
    <t>Painel de alertas de auditoria temporal</t>
  </si>
  <si>
    <t>Demonstra a importância de carimbos de tempo bem tipados.</t>
  </si>
  <si>
    <t>Dica do bloco 3: o modelo certo é aquele em que a consulta MAIS FREQUENTE é a mais simples de escrever. Se a pergunta central for sobre conexões de profundidade variável, o relacional vai doer.</t>
  </si>
  <si>
    <t>Bloco 4 — Cargas de trabalho, engines e garantias</t>
  </si>
  <si>
    <t>Uma linha por armazenamento do projeto (banco principal, cache, réplica analítica, arquivo…).</t>
  </si>
  <si>
    <t>Armazenamento</t>
  </si>
  <si>
    <t>O que guarda</t>
  </si>
  <si>
    <t>Tipo de carga
(OLTP | OLAP | misto)</t>
  </si>
  <si>
    <t>SGBD ou serviço escolhido</t>
  </si>
  <si>
    <t>Orientação
(linha | coluna)</t>
  </si>
  <si>
    <t>Latência aceitável</t>
  </si>
  <si>
    <t>Disponibilidade exigida</t>
  </si>
  <si>
    <t>Garantias ACID necessárias
(A, C, I, D — quais)</t>
  </si>
  <si>
    <t>De qual garantia dá para abrir mão</t>
  </si>
  <si>
    <t>Quem cobre esse buraco se abrir mão</t>
  </si>
  <si>
    <t>Volume estimado em 1 ano</t>
  </si>
  <si>
    <t>Banco principal</t>
  </si>
  <si>
    <t>Usuários, bicicletas, empréstimos em andamento</t>
  </si>
  <si>
    <t>OLTP</t>
  </si>
  <si>
    <t>PostgreSQL</t>
  </si>
  <si>
    <t>&lt; 300 ms na retirada</t>
  </si>
  <si>
    <t>alta — sem ele ninguém pega bicicleta</t>
  </si>
  <si>
    <t>A, I e D são obrigatórias</t>
  </si>
  <si>
    <t>Nenhuma, no momento</t>
  </si>
  <si>
    <t>—</t>
  </si>
  <si>
    <t>~1,5 GB</t>
  </si>
  <si>
    <t>Domínio com integridade forte, volume moderado e equipe que já domina SQL</t>
  </si>
  <si>
    <t>Banco Transacional Principal (OLTP)</t>
  </si>
  <si>
    <t>Parlamentares, fornecedores, mandatos, categorias e livro-razão de despesas da CEAP</t>
  </si>
  <si>
    <t>PostgreSQL 16</t>
  </si>
  <si>
    <t>&lt; 150 ms para busca por documento ou deputado</t>
  </si>
  <si>
    <t>alta — fonte primária de integridade</t>
  </si>
  <si>
    <t>A, C, I e D são obrigatórias</t>
  </si>
  <si>
    <t>Nenhuma</t>
  </si>
  <si>
    <t>~350 MB (4 anos)</t>
  </si>
  <si>
    <t>Domínio financeiro e contábil público que exige integridade referencial estrita, transações ACID e suporte a CDC para a E2.</t>
  </si>
  <si>
    <t>Data Lakehouse / Réplica Analítica (OLAP)</t>
  </si>
  <si>
    <t>Tabelas dimensionais e fatos desnormalizados em formato colunar para visualização</t>
  </si>
  <si>
    <t>OLAP</t>
  </si>
  <si>
    <t>DuckDB + Parquet / MinIO (E2/E3)</t>
  </si>
  <si>
    <t>&lt; 500 ms para agregações complexas sobre quase 800 mil linhas</t>
  </si>
  <si>
    <t>média — pode ser reconstruído a partir do OLTP</t>
  </si>
  <si>
    <t>Durabilidade (D); Atomicidade tratada por partição</t>
  </si>
  <si>
    <t>Isolamento estrito e atomicidade em nível de linha</t>
  </si>
  <si>
    <t>O pipeline em lote e a imutabilidade dos arquivos Parquet</t>
  </si>
  <si>
    <t>~100 MB compactado</t>
  </si>
  <si>
    <t>Permite relatórios pesados sem degradar o banco transacional operacional.</t>
  </si>
  <si>
    <t>Dica do bloco 4: a pergunta certa não é "tem ACID?", e sim "de que garantia eu posso abrir mão — e quem cobre o buraco?". Relatório pesado não roda no banco de produção.</t>
  </si>
  <si>
    <t>Bloco 5 — Pipeline de dados do projeto (movimentação e transformação)</t>
  </si>
  <si>
    <t>Uma linha por etapa, na ordem em que o dado percorre o caminho: fonte → ingestão → armazenamento → transformação → consumo.</t>
  </si>
  <si>
    <t>Etapa</t>
  </si>
  <si>
    <t>Origem</t>
  </si>
  <si>
    <t>Destino</t>
  </si>
  <si>
    <t>Transformações aplicadas
(limpar, validar, juntar, deduplicar, agregar…)</t>
  </si>
  <si>
    <t>ETL ou ELT</t>
  </si>
  <si>
    <t>Lote ou contínuo</t>
  </si>
  <si>
    <t>Frequência de execução</t>
  </si>
  <si>
    <t>Custo de um atraso de 1 hora</t>
  </si>
  <si>
    <t>Ferramenta prevista</t>
  </si>
  <si>
    <t>Responsável na equipe</t>
  </si>
  <si>
    <t>Como a equipe sabe que a etapa falhou</t>
  </si>
  <si>
    <t>Carga diária para análise</t>
  </si>
  <si>
    <t>Banco principal (PostgreSQL)</t>
  </si>
  <si>
    <t>Arquivo Parquet no armazenamento de objetos</t>
  </si>
  <si>
    <t>Deduplicar empréstimos reenviados; derivar duração; anonimizar a matrícula</t>
  </si>
  <si>
    <t>ETL</t>
  </si>
  <si>
    <t>lote</t>
  </si>
  <si>
    <t>diária, às 3h</t>
  </si>
  <si>
    <t>Baixo — o painel é olhado uma vez por dia</t>
  </si>
  <si>
    <t>Script Python + cron</t>
  </si>
  <si>
    <t>Beto Lima</t>
  </si>
  <si>
    <t>O job registra a contagem de linhas; se cair abaixo de 100, envia alerta no grupo</t>
  </si>
  <si>
    <t>Ingestão Automatizada da Fonte Pública</t>
  </si>
  <si>
    <t>Portal de Dados Abertos da Câmara dos Deputados (HTTP ZIP/CSV)</t>
  </si>
  <si>
    <t>Tabela de Staging UNLOGGED (stg_ceap_raw no PostgreSQL)</t>
  </si>
  <si>
    <t>Download concorrente de zips, descompactação em memória, streaming via PostgreSQL COPY</t>
  </si>
  <si>
    <t>ELT</t>
  </si>
  <si>
    <t>mensal ou sob demanda (automático na subida)</t>
  </si>
  <si>
    <t>Baixo — dados históricos de transparência não exigem tempo real</t>
  </si>
  <si>
    <t>Python 3.11 (requests + zipfile) + PostgreSQL COPY</t>
  </si>
  <si>
    <t>Squad G8</t>
  </si>
  <si>
    <t>O container registra logs no Docker; healthcheck e verificação de contagem de linhas abortam a execução se o download falhar.</t>
  </si>
  <si>
    <t>Normalização Relacional e Carga Transacional</t>
  </si>
  <si>
    <t>Tabela stg_ceap_raw</t>
  </si>
  <si>
    <t>Tabelas relacionais (parlamentar, fornecedor, mandato, despesa_ceap)</t>
  </si>
  <si>
    <t>Deduplicação de dimensões, conversão de datas e moedas, resolução de chaves estrangeiras, tratamento de valores negativos de cancelamento de passagens</t>
  </si>
  <si>
    <t>imediatamente após a Etapa 1</t>
  </si>
  <si>
    <t>Baixo</t>
  </si>
  <si>
    <t>Scripts SQL ACID idempotentes com ON CONFLICT DO NOTHING / UPDATE</t>
  </si>
  <si>
    <t>Transação SQL aborta com rollback caso haja violação de integridade ou chave estrangeira inexistente.</t>
  </si>
  <si>
    <t>Captura de Mudanças e Alimentação Analítica (E2/E3)</t>
  </si>
  <si>
    <t>Banco Transacional (PostgreSQL)</t>
  </si>
  <si>
    <t>Armazenamento Analítico Aberto (Parquet / Lakehouse)</t>
  </si>
  <si>
    <t>Captura de inserções na despesa_ceap, desnormalização controlada, compressão colunar</t>
  </si>
  <si>
    <t>ETL / ELT</t>
  </si>
  <si>
    <t>lote agendado / CDC</t>
  </si>
  <si>
    <t>diária / semanal</t>
  </si>
  <si>
    <t>Médio — o painel analítico pode ficar defasado em relação à base pública</t>
  </si>
  <si>
    <t>DuckDB / dbt / Debezium</t>
  </si>
  <si>
    <t>Testes de expectativa de dados (dbt test / Great Expectations) emitindo alertas caso colunas essenciais contenham nulos.</t>
  </si>
  <si>
    <t>Dica do bloco 5: extrair e carregar são mecânicos; o trabalho de verdade está no T. Cada transformação é uma decisão de negócio disfarçada de código — documente. Comece em lote e só migre para contínuo quando alguém souber dizer quanto custa o atraso.</t>
  </si>
  <si>
    <t>Rascunho de ADR — registro da decisão de dados</t>
  </si>
  <si>
    <t>Este é o insumo do Método de Decisão da disciplina. Preencha em prosa, não em tópicos soltos.</t>
  </si>
  <si>
    <t>Coluna C = resposta da equipe. Coluna D traz o que se espera em cada campo.</t>
  </si>
  <si>
    <t>#</t>
  </si>
  <si>
    <t>Campo do ADR</t>
  </si>
  <si>
    <t>O que se espera aqui</t>
  </si>
  <si>
    <t>Título da decisão</t>
  </si>
  <si>
    <t>Adotar modelagem relacional normalizada com padrão insert-only para a fonte transacional da CEAP</t>
  </si>
  <si>
    <t>Frase curta no imperativo: "Adotar PostgreSQL como banco principal".</t>
  </si>
  <si>
    <t>Data</t>
  </si>
  <si>
    <t>2026-09-27</t>
  </si>
  <si>
    <t>Data em que a decisão foi tomada.</t>
  </si>
  <si>
    <t>Status</t>
  </si>
  <si>
    <t>aceito</t>
  </si>
  <si>
    <t>proposto | aceito | substituído por (nº).</t>
  </si>
  <si>
    <t>Quem decidiu</t>
  </si>
  <si>
    <t>Filipe Carvalho, Taynara Vitorino, Gabriel Esteves, Maria Clara Alves, Kaio Macedo, Amanda Gonçalves (Squad G8)</t>
  </si>
  <si>
    <t>Nomes de quem participou da decisão.</t>
  </si>
  <si>
    <t>Contexto</t>
  </si>
  <si>
    <t>A Squad G8 precisa construir o sistema de origem (OLTP) que sustenta as consultas analíticas sobre 4 anos completos de gastos da Cota Parlamentar (CEAP, 2023–2026). Os dados brutos chegam em CSVs com ~785 mil linhas (265 MB) e inconsistências típicas de dados públicos (estornos com valores negativos, datas vazias em telefonia e lideranças sem CPF). Era necessário definir se o esquema seria desnormalizado ou normalizado, e se adotaria CRUD ou insert-only.</t>
  </si>
  <si>
    <t>O que está acontecendo no projeto que torna a decisão necessária. Sem contexto o ADR não serve para nada daqui a seis meses.</t>
  </si>
  <si>
    <t>Requisitos e restrições</t>
  </si>
  <si>
    <t>Volume de 785.754 registros de despesas (265 MB CSV); latência &lt; 150 ms para busca transacional pontual; consistência ACID estrita para auditoria de gastos públicos; stack 100% livre rodando em Docker Compose local; reprodutibilidade total a partir de máquina limpa sem download manual.</t>
  </si>
  <si>
    <t>Volume esperado, latência exigida, garantias necessárias, prazo, custo, o que a equipe já sabe usar.</t>
  </si>
  <si>
    <t>Padrões de acesso previstos</t>
  </si>
  <si>
    <t>Consultas frequentes por parlamentar, partido e período; somatórios e médias mensais de valor líquido; rankings de fornecedores recebedores; consultas de auditoria temporal (emissão em fins de semana).</t>
  </si>
  <si>
    <t>As consultas mais frequentes (traga da aba 3 Modelos).</t>
  </si>
  <si>
    <t>Decisão</t>
  </si>
  <si>
    <t>Modelar a origem no PostgreSQL 16 com tabelas normalizadas para dimensões (parlamentar, mandato, fornecedor, categoria) e padrão estritamente insert-only na tabela de fatos/transações despesa_ceap, diferenciando explicitamente data de emissão, data de compensação financeira e data de ingestão.</t>
  </si>
  <si>
    <t>O que foi decidido, em uma frase afirmativa.</t>
  </si>
  <si>
    <t>Alternativa 1 considerada</t>
  </si>
  <si>
    <t>Tabela Única Desnormalizada (Flat Table / Cópia bruta do CSV da Câmara)</t>
  </si>
  <si>
    <t>Nome da alternativa.</t>
  </si>
  <si>
    <t xml:space="preserve">  → prós da alternativa 1</t>
  </si>
  <si>
    <t>Ingestão direta mais rápida e sem necessidade de scripts de resolução de chave estrangeira.</t>
  </si>
  <si>
    <t>Onde ela ganharia.</t>
  </si>
  <si>
    <t xml:space="preserve">  → contras da alternativa 1</t>
  </si>
  <si>
    <t>Esquema sem restrição ('tudo TEXT'), desperdício maciço de disco com redundância de razões sociais e nomes de parlamentares, e ausência total de validação contábil.</t>
  </si>
  <si>
    <t>Onde ela perde para a escolhida.</t>
  </si>
  <si>
    <t xml:space="preserve">  → por que não foi escolhida</t>
  </si>
  <si>
    <t>Viola as diretrizes de maturidade e qualidade de dados da disciplina, empurrando o problema de integridade para as entregas futuras.</t>
  </si>
  <si>
    <t>O critério concreto que a eliminou.</t>
  </si>
  <si>
    <t>Alternativa 2 considerada</t>
  </si>
  <si>
    <t>Modelagem Relacional CRUD com Sobrescrita (UPDATE)</t>
  </si>
  <si>
    <t xml:space="preserve">  → prós da alternativa 2</t>
  </si>
  <si>
    <t>Menor volume acumulado em caso de retificações cadastrais de despesas.</t>
  </si>
  <si>
    <t xml:space="preserve">  → contras da alternativa 2</t>
  </si>
  <si>
    <t>Comandos UPDATE destroem o valor e a data original da prestação de contas, impedindo auditorias retrospectivas de glosas e devoluções, além de complicar o CDC na E2.</t>
  </si>
  <si>
    <t>Despesas contábeis e fiscais são imutáveis por definição legal (livro-razão contábil); retificações devem ser registradas como estornos ou campos de restituição, nunca sobrescritas.</t>
  </si>
  <si>
    <t>Evidência que sustenta a decisão</t>
  </si>
  <si>
    <t>Medição empírica no PostgreSQL 16: a carga dos 4 anos (785.754 linhas) levou apenas 97,4 segundos com staging COPY; o espaço ocupado foi reduzido para ~178 MB de dados limpos; a consulta agregada indexada respondeu em 112 ms contra 790 ms da tabela flat.</t>
  </si>
  <si>
    <t>Medição, prova de conceito, benchmark ou fonte consultada. Opinião não é evidência.</t>
  </si>
  <si>
    <t>Consequências positivas</t>
  </si>
  <si>
    <t>Consistência contábil garantida pelo SGBD; histórico temporal preservado; banco transacional imediatamente compatível com replicação lógica/CDC para a Entrega E2.</t>
  </si>
  <si>
    <t>O que fica mais fácil a partir de agora.</t>
  </si>
  <si>
    <t>Consequências negativas</t>
  </si>
  <si>
    <t>Exige pipeline de ingestão em dois passos (tabela staging unlogged intermediária) e necessidade de índices compostos para manter o desempenho de leitura.</t>
  </si>
  <si>
    <t>A dor aceita conscientemente. Todo ADR sem essa parte está incompleto.</t>
  </si>
  <si>
    <t>Riscos assumidos</t>
  </si>
  <si>
    <t>Possibilidade de fornecedores não informados ou grafias variantes de razão social exigirem tratamento de limpeza contínuo nas etapas analíticas subsequentes.</t>
  </si>
  <si>
    <t>Traga da aba Riscos os que decorrem desta decisão.</t>
  </si>
  <si>
    <t>Como e quando revisitar</t>
  </si>
  <si>
    <t>Revisar a modelagem caso o volume ultrapasse 200.000 notas fiscais/mês, justificando particionamento declarativo nativo (declarative table partitioning) por ano/mês de competência, ou se o tempo de ingestão em lote ultrapassar 120 segundos.</t>
  </si>
  <si>
    <t>Que sinal (volume, latência, custo, nova exigência) fará a equipe reabrir esta decisão.</t>
  </si>
  <si>
    <t>Bloco 6 — Matriz de Riscos do Pipeline de Dados</t>
  </si>
  <si>
    <t>Mapeamento dos pontos de falha que podem derrubar o pipeline e respectivas mitigações.</t>
  </si>
  <si>
    <t>Risco mapeado</t>
  </si>
  <si>
    <t>Probabilidade
(alta | média | baixa)</t>
  </si>
  <si>
    <t>Impacto
(alto | médio | baixo)</t>
  </si>
  <si>
    <t>Mitigação adotada</t>
  </si>
  <si>
    <t>Responsável</t>
  </si>
  <si>
    <t>Monitoramento</t>
  </si>
  <si>
    <t>Queda do portal de dados abertos</t>
  </si>
  <si>
    <t>alto</t>
  </si>
  <si>
    <t>Cache local em disco dos arquivos já baixados</t>
  </si>
  <si>
    <t>Equipe</t>
  </si>
  <si>
    <t>Timeout e retry automático</t>
  </si>
  <si>
    <t>Alteração ou indisponibilidade da URL de download da Câmara dos Deputados</t>
  </si>
  <si>
    <t>Script download_data.py possui fallback para ler os CSVs locais em cache na pasta base-dados caso a conexão externa falhe.</t>
  </si>
  <si>
    <t>Verificação de status HTTP e hash</t>
  </si>
  <si>
    <t>Inconsistência nos tipos de dados brutos (datas vazias em ramal telefônico e valores negativos em passagens)</t>
  </si>
  <si>
    <t>médio</t>
  </si>
  <si>
    <t>Esquema físico com tipos flexíveis nas exceções (datas anuláveis) e constraints que aceitam cancelamentos contábeis reais.</t>
  </si>
  <si>
    <t>Validação em staging antes da inserção</t>
  </si>
  <si>
    <t>Degradação do tempo de carga em máquina limpa devido ao volume de quase 800 mil registros</t>
  </si>
  <si>
    <t>Uso de tabela UNLOGGED no PostgreSQL e ingestão em massa via COPY direto do arquivo em lote, atingindo carga em menos de 2 minutos.</t>
  </si>
  <si>
    <t>Métrica de tempo nos logs do container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</si>
</sst>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i/>
      <sz val="9.0"/>
      <color rgb="FF45606B"/>
      <name val="Arial"/>
    </font>
    <font>
      <b/>
      <sz val="9.0"/>
      <color rgb="FFFFFFFF"/>
      <name val="Arial"/>
    </font>
    <font>
      <b/>
      <sz val="10.0"/>
      <color rgb="FF12232E"/>
      <name val="Arial"/>
    </font>
    <font>
      <i/>
      <sz val="9.0"/>
      <color rgb="FFD97D25"/>
      <name val="Arial"/>
    </font>
    <font>
      <i/>
      <sz val="9.0"/>
      <color rgb="FF808080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9.0"/>
      <color rgb="FF000000"/>
      <name val="Arial"/>
    </font>
    <font>
      <b/>
      <i/>
      <sz val="9.0"/>
      <color rgb="FF808080"/>
      <name val="Arial"/>
    </font>
    <font>
      <b/>
      <sz val="9.0"/>
      <color rgb="FF12232E"/>
      <name val="Arial"/>
    </font>
    <font>
      <b/>
      <sz val="10.0"/>
      <color theme="1"/>
      <name val="Arial"/>
    </font>
    <font>
      <sz val="9.0"/>
      <color rgb="FF808080"/>
      <name val="Arial"/>
    </font>
    <font>
      <sz val="10.0"/>
      <color rgb="FF12232E"/>
      <name val="Arial"/>
    </font>
    <font>
      <color theme="1"/>
      <name val="Calibri"/>
      <scheme val="minor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2232E"/>
        <bgColor rgb="FF12232E"/>
      </patternFill>
    </fill>
    <fill>
      <patternFill patternType="solid">
        <fgColor rgb="FF028090"/>
        <bgColor rgb="FF028090"/>
      </patternFill>
    </fill>
    <fill>
      <patternFill patternType="solid">
        <fgColor rgb="FFFFF9D6"/>
        <bgColor rgb="FFFFF9D6"/>
      </patternFill>
    </fill>
    <fill>
      <patternFill patternType="solid">
        <fgColor rgb="FFF4F4F4"/>
        <bgColor rgb="FFF4F4F4"/>
      </patternFill>
    </fill>
    <fill>
      <patternFill patternType="solid">
        <fgColor rgb="FFFFFDF0"/>
        <bgColor rgb="FFFFFDF0"/>
      </patternFill>
    </fill>
    <fill>
      <patternFill patternType="solid">
        <fgColor rgb="FF1B3A4B"/>
        <bgColor rgb="FF1B3A4B"/>
      </patternFill>
    </fill>
    <fill>
      <patternFill patternType="solid">
        <fgColor rgb="FFEDF4F4"/>
        <bgColor rgb="FFEDF4F4"/>
      </patternFill>
    </fill>
    <fill>
      <patternFill patternType="solid">
        <fgColor rgb="FFD97D25"/>
        <bgColor rgb="FFD97D25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C9DBDB"/>
      </left>
      <right style="thin">
        <color rgb="FFC9DBDB"/>
      </right>
      <top style="thin">
        <color rgb="FFC9DBDB"/>
      </top>
      <bottom style="thin">
        <color rgb="FFC9DBDB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vertical="center"/>
    </xf>
    <xf borderId="4" fillId="3" fontId="5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shrinkToFit="0" vertical="center" wrapText="1"/>
    </xf>
    <xf borderId="0" fillId="0" fontId="7" numFmtId="0" xfId="0" applyAlignment="1" applyFont="1">
      <alignment vertical="bottom"/>
    </xf>
    <xf borderId="5" fillId="4" fontId="3" numFmtId="0" xfId="0" applyAlignment="1" applyBorder="1" applyFill="1" applyFont="1">
      <alignment horizontal="left" shrinkToFit="0" vertical="center" wrapText="1"/>
    </xf>
    <xf borderId="4" fillId="0" fontId="4" numFmtId="0" xfId="0" applyAlignment="1" applyBorder="1" applyFont="1">
      <alignment shrinkToFit="0" vertical="center" wrapText="1"/>
    </xf>
    <xf borderId="5" fillId="4" fontId="3" numFmtId="0" xfId="0" applyAlignment="1" applyBorder="1" applyFill="1" applyFont="1">
      <alignment horizontal="left" readingOrder="0" shrinkToFit="0" vertical="center" wrapText="1"/>
    </xf>
    <xf borderId="4" fillId="5" fontId="8" numFmtId="0" xfId="0" applyAlignment="1" applyBorder="1" applyFill="1" applyFont="1">
      <alignment horizontal="left" shrinkToFit="0" vertical="top" wrapText="1"/>
    </xf>
    <xf borderId="5" fillId="4" fontId="3" numFmtId="0" xfId="0" applyAlignment="1" applyBorder="1" applyFill="1" applyFont="1">
      <alignment horizontal="center" vertical="center"/>
    </xf>
    <xf borderId="4" fillId="6" fontId="9" numFmtId="0" xfId="0" applyAlignment="1" applyBorder="1" applyFill="1" applyFont="1">
      <alignment horizontal="left" shrinkToFit="0" vertical="top" wrapText="1"/>
    </xf>
    <xf borderId="1" fillId="7" fontId="10" numFmtId="0" xfId="0" applyAlignment="1" applyBorder="1" applyFill="1" applyFont="1">
      <alignment horizontal="left" vertical="center"/>
    </xf>
    <xf borderId="0" fillId="0" fontId="6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4" fillId="6" fontId="11" numFmtId="0" xfId="0" applyAlignment="1" applyBorder="1" applyFill="1" applyFont="1">
      <alignment horizontal="left" vertical="center"/>
    </xf>
    <xf borderId="0" fillId="0" fontId="9" numFmtId="0" xfId="0" applyAlignment="1" applyFont="1">
      <alignment shrinkToFit="0" vertical="center" wrapText="1"/>
    </xf>
    <xf borderId="4" fillId="5" fontId="12" numFmtId="0" xfId="0" applyAlignment="1" applyBorder="1" applyFill="1" applyFont="1">
      <alignment horizontal="left" vertical="center"/>
    </xf>
    <xf borderId="4" fillId="3" fontId="5" numFmtId="0" xfId="0" applyAlignment="1" applyBorder="1" applyFill="1" applyFont="1">
      <alignment horizontal="left" vertical="center"/>
    </xf>
    <xf borderId="4" fillId="8" fontId="13" numFmtId="0" xfId="0" applyAlignment="1" applyBorder="1" applyFill="1" applyFont="1">
      <alignment horizontal="left" vertical="center"/>
    </xf>
    <xf borderId="4" fillId="0" fontId="6" numFmtId="0" xfId="0" applyAlignment="1" applyBorder="1" applyFont="1">
      <alignment vertical="center"/>
    </xf>
    <xf borderId="4" fillId="0" fontId="9" numFmtId="0" xfId="0" applyAlignment="1" applyBorder="1" applyFont="1">
      <alignment shrinkToFit="0" vertical="center" wrapText="1"/>
    </xf>
    <xf borderId="4" fillId="8" fontId="6" numFmtId="0" xfId="0" applyAlignment="1" applyBorder="1" applyFill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8" fontId="14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right" vertical="center"/>
    </xf>
    <xf borderId="4" fillId="9" fontId="10" numFmtId="0" xfId="0" applyAlignment="1" applyBorder="1" applyFill="1" applyFont="1">
      <alignment horizontal="center" vertical="center"/>
    </xf>
    <xf borderId="4" fillId="9" fontId="5" numFmtId="0" xfId="0" applyAlignment="1" applyBorder="1" applyFill="1" applyFont="1">
      <alignment horizontal="left" shrinkToFit="0" vertical="center" wrapText="1"/>
    </xf>
    <xf borderId="4" fillId="0" fontId="15" numFmtId="0" xfId="0" applyAlignment="1" applyBorder="1" applyFont="1">
      <alignment horizontal="center" vertical="center"/>
    </xf>
    <xf borderId="4" fillId="0" fontId="4" numFmtId="0" xfId="0" applyAlignment="1" applyBorder="1" applyFont="1">
      <alignment shrinkToFit="0" vertical="top" wrapText="1"/>
    </xf>
    <xf borderId="4" fillId="0" fontId="16" numFmtId="0" xfId="0" applyAlignment="1" applyBorder="1" applyFont="1">
      <alignment shrinkToFit="0" vertical="center" wrapText="1"/>
    </xf>
    <xf borderId="6" fillId="0" fontId="17" numFmtId="0" xfId="0" applyBorder="1" applyFont="1"/>
    <xf borderId="6" fillId="0" fontId="18" numFmtId="0" xfId="0" applyBorder="1" applyFont="1"/>
    <xf borderId="6" fillId="4" fontId="3" numFmtId="0" xfId="0" applyAlignment="1" applyBorder="1" applyFill="1" applyFont="1">
      <alignment horizontal="center" vertical="center"/>
    </xf>
    <xf borderId="6" fillId="4" fontId="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62.0"/>
    <col customWidth="1" min="3" max="3" width="30.0"/>
    <col customWidth="1" min="4" max="5" width="18.0"/>
    <col customWidth="1" min="6" max="6" width="8.71"/>
  </cols>
  <sheetData>
    <row r="1" ht="30.0" customHeight="1">
      <c r="A1" s="1" t="s">
        <v>1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40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5" t="s">
        <v>85</v>
      </c>
      <c r="B4" s="2"/>
      <c r="C4" s="2"/>
      <c r="D4" s="2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16" t="s">
        <v>118</v>
      </c>
      <c r="B5" s="17" t="s">
        <v>119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16" t="s">
        <v>123</v>
      </c>
      <c r="B6" s="17" t="s">
        <v>125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 t="s">
        <v>130</v>
      </c>
      <c r="B7" s="17" t="s">
        <v>131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6" t="s">
        <v>133</v>
      </c>
      <c r="B8" s="17" t="s">
        <v>135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16" t="s">
        <v>142</v>
      </c>
      <c r="B9" s="17" t="s">
        <v>144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6" t="s">
        <v>146</v>
      </c>
      <c r="B10" s="17" t="s">
        <v>148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5" t="s">
        <v>157</v>
      </c>
      <c r="B12" s="2"/>
      <c r="C12" s="2"/>
      <c r="D12" s="2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8" t="s">
        <v>158</v>
      </c>
      <c r="B13" s="19" t="s">
        <v>159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20" t="s">
        <v>161</v>
      </c>
      <c r="B14" s="19" t="s">
        <v>162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21" t="s">
        <v>163</v>
      </c>
      <c r="B15" s="19" t="s">
        <v>164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22" t="s">
        <v>165</v>
      </c>
      <c r="B16" s="19" t="s">
        <v>166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15" t="s">
        <v>167</v>
      </c>
      <c r="B18" s="2"/>
      <c r="C18" s="2"/>
      <c r="D18" s="2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6" t="s">
        <v>168</v>
      </c>
      <c r="B19" s="6" t="s">
        <v>169</v>
      </c>
      <c r="C19" s="6" t="s">
        <v>170</v>
      </c>
      <c r="D19" s="6" t="s">
        <v>171</v>
      </c>
      <c r="E19" s="6" t="s">
        <v>172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23" t="s">
        <v>173</v>
      </c>
      <c r="B20" s="24" t="s">
        <v>174</v>
      </c>
      <c r="C20" s="25">
        <f>COUNTA('1 Fontes'!A7:A26)</f>
        <v>4</v>
      </c>
      <c r="D20" s="26">
        <v>4.0</v>
      </c>
      <c r="E20" s="27" t="str">
        <f t="shared" ref="E20:E26" si="1">IF(C20&gt;=D20,"OK","Falta preencher")</f>
        <v>OK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23" t="s">
        <v>176</v>
      </c>
      <c r="B21" s="24" t="s">
        <v>177</v>
      </c>
      <c r="C21" s="25">
        <f>COUNTA('2 Formatos'!A7:A21)</f>
        <v>3</v>
      </c>
      <c r="D21" s="26">
        <v>3.0</v>
      </c>
      <c r="E21" s="27" t="str">
        <f t="shared" si="1"/>
        <v>OK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23" t="s">
        <v>178</v>
      </c>
      <c r="B22" s="24" t="s">
        <v>179</v>
      </c>
      <c r="C22" s="25">
        <f>COUNTA('3 Modelos'!A7:A21)</f>
        <v>5</v>
      </c>
      <c r="D22" s="26">
        <v>4.0</v>
      </c>
      <c r="E22" s="27" t="str">
        <f t="shared" si="1"/>
        <v>OK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23" t="s">
        <v>180</v>
      </c>
      <c r="B23" s="24" t="s">
        <v>181</v>
      </c>
      <c r="C23" s="25">
        <f>COUNTA('4 Cargas e Engines'!A7:A16)</f>
        <v>2</v>
      </c>
      <c r="D23" s="26">
        <v>2.0</v>
      </c>
      <c r="E23" s="27" t="str">
        <f t="shared" si="1"/>
        <v>OK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23" t="s">
        <v>182</v>
      </c>
      <c r="B24" s="24" t="s">
        <v>183</v>
      </c>
      <c r="C24" s="25">
        <f>COUNTA('5 Pipeline'!A7:A21)</f>
        <v>3</v>
      </c>
      <c r="D24" s="26">
        <v>3.0</v>
      </c>
      <c r="E24" s="27" t="str">
        <f t="shared" si="1"/>
        <v>OK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23" t="s">
        <v>184</v>
      </c>
      <c r="B25" s="24" t="s">
        <v>185</v>
      </c>
      <c r="C25" s="25">
        <f>COUNTA(Riscos!A7:A21)</f>
        <v>3</v>
      </c>
      <c r="D25" s="26">
        <v>3.0</v>
      </c>
      <c r="E25" s="27" t="str">
        <f t="shared" si="1"/>
        <v>OK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23" t="s">
        <v>186</v>
      </c>
      <c r="B26" s="24" t="s">
        <v>187</v>
      </c>
      <c r="C26" s="25">
        <f>COUNTA(ADR!C6:C30)</f>
        <v>21</v>
      </c>
      <c r="D26" s="26">
        <v>10.0</v>
      </c>
      <c r="E26" s="27" t="str">
        <f t="shared" si="1"/>
        <v>OK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28" t="s">
        <v>188</v>
      </c>
      <c r="C27" s="29" t="str">
        <f>COUNTIF(E20:E26,"OK")&amp;" de 7"</f>
        <v>7 de 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5" t="s">
        <v>189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E1"/>
    <mergeCell ref="A2:E2"/>
    <mergeCell ref="A4:E4"/>
    <mergeCell ref="A12:E12"/>
    <mergeCell ref="A18:E18"/>
    <mergeCell ref="A29:E29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62.0"/>
    <col customWidth="1" min="3" max="3" width="40.0"/>
    <col customWidth="1" min="4" max="6" width="8.71"/>
  </cols>
  <sheetData>
    <row r="1" ht="30.0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6" t="s">
        <v>6</v>
      </c>
      <c r="B4" s="6" t="s">
        <v>7</v>
      </c>
      <c r="C4" s="6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9</v>
      </c>
      <c r="B5" s="9" t="s">
        <v>11</v>
      </c>
      <c r="C5" s="10" t="s">
        <v>12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7" t="s">
        <v>21</v>
      </c>
      <c r="B6" s="11" t="s">
        <v>24</v>
      </c>
      <c r="C6" s="10" t="s">
        <v>30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7" t="s">
        <v>32</v>
      </c>
      <c r="B7" s="9" t="s">
        <v>34</v>
      </c>
      <c r="C7" s="10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2.5" customHeight="1">
      <c r="A8" s="7" t="s">
        <v>35</v>
      </c>
      <c r="B8" s="9" t="s">
        <v>36</v>
      </c>
      <c r="C8" s="10" t="s">
        <v>37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3.0" customHeight="1">
      <c r="A9" s="7" t="s">
        <v>46</v>
      </c>
      <c r="B9" s="9" t="s">
        <v>48</v>
      </c>
      <c r="C9" s="10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7" t="s">
        <v>54</v>
      </c>
      <c r="B10" s="9" t="s">
        <v>55</v>
      </c>
      <c r="C10" s="10" t="s">
        <v>56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7" t="s">
        <v>57</v>
      </c>
      <c r="B11" s="9" t="s">
        <v>58</v>
      </c>
      <c r="C11" s="10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7" t="s">
        <v>64</v>
      </c>
      <c r="B12" s="9" t="s">
        <v>67</v>
      </c>
      <c r="C12" s="10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7" t="s">
        <v>74</v>
      </c>
      <c r="B13" s="9" t="s">
        <v>75</v>
      </c>
      <c r="C13" s="10" t="s">
        <v>76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C1"/>
    <mergeCell ref="A2:C2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18.0"/>
    <col customWidth="1" min="4" max="4" width="20.0"/>
    <col customWidth="1" min="5" max="5" width="26.0"/>
    <col customWidth="1" min="6" max="6" width="20.0"/>
    <col customWidth="1" min="7" max="7" width="16.0"/>
    <col customWidth="1" min="8" max="8" width="18.0"/>
    <col customWidth="1" min="9" max="10" width="12.0"/>
    <col customWidth="1" min="11" max="11" width="16.0"/>
    <col customWidth="1" min="12" max="12" width="14.0"/>
    <col customWidth="1" min="13" max="13" width="22.0"/>
    <col customWidth="1" min="14" max="14" width="16.0"/>
    <col customWidth="1" min="15" max="15" width="30.0"/>
  </cols>
  <sheetData>
    <row r="1" ht="30.0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10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6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22</v>
      </c>
      <c r="I5" s="6" t="s">
        <v>23</v>
      </c>
      <c r="J5" s="6" t="s">
        <v>25</v>
      </c>
      <c r="K5" s="6" t="s">
        <v>26</v>
      </c>
      <c r="L5" s="6" t="s">
        <v>27</v>
      </c>
      <c r="M5" s="6" t="s">
        <v>28</v>
      </c>
      <c r="N5" s="6" t="s">
        <v>29</v>
      </c>
      <c r="O5" s="6" t="s">
        <v>31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75" customHeight="1">
      <c r="A6" s="12" t="s">
        <v>33</v>
      </c>
      <c r="B6" s="12" t="s">
        <v>38</v>
      </c>
      <c r="C6" s="12" t="s">
        <v>39</v>
      </c>
      <c r="D6" s="12" t="s">
        <v>41</v>
      </c>
      <c r="E6" s="12" t="s">
        <v>42</v>
      </c>
      <c r="F6" s="12" t="s">
        <v>43</v>
      </c>
      <c r="G6" s="12" t="s">
        <v>44</v>
      </c>
      <c r="H6" s="12" t="s">
        <v>45</v>
      </c>
      <c r="I6" s="12" t="s">
        <v>47</v>
      </c>
      <c r="J6" s="12" t="s">
        <v>47</v>
      </c>
      <c r="K6" s="12" t="s">
        <v>49</v>
      </c>
      <c r="L6" s="12" t="s">
        <v>50</v>
      </c>
      <c r="M6" s="12" t="s">
        <v>51</v>
      </c>
      <c r="N6" s="12" t="s">
        <v>52</v>
      </c>
      <c r="O6" s="12" t="s">
        <v>53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00.5" customHeight="1">
      <c r="A7" s="13">
        <v>1.0</v>
      </c>
      <c r="B7" s="9" t="s">
        <v>59</v>
      </c>
      <c r="C7" s="13" t="s">
        <v>60</v>
      </c>
      <c r="D7" s="9" t="s">
        <v>61</v>
      </c>
      <c r="E7" s="9" t="s">
        <v>62</v>
      </c>
      <c r="F7" s="9" t="s">
        <v>63</v>
      </c>
      <c r="G7" s="9" t="s">
        <v>66</v>
      </c>
      <c r="H7" s="13" t="s">
        <v>68</v>
      </c>
      <c r="I7" s="13" t="s">
        <v>47</v>
      </c>
      <c r="J7" s="13" t="s">
        <v>47</v>
      </c>
      <c r="K7" s="13" t="s">
        <v>49</v>
      </c>
      <c r="L7" s="13" t="s">
        <v>50</v>
      </c>
      <c r="M7" s="9" t="s">
        <v>71</v>
      </c>
      <c r="N7" s="9" t="s">
        <v>72</v>
      </c>
      <c r="O7" s="1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3.75" customHeight="1">
      <c r="A8" s="13">
        <v>2.0</v>
      </c>
      <c r="B8" s="9" t="s">
        <v>82</v>
      </c>
      <c r="C8" s="13" t="s">
        <v>60</v>
      </c>
      <c r="D8" s="9" t="s">
        <v>84</v>
      </c>
      <c r="E8" s="9" t="s">
        <v>86</v>
      </c>
      <c r="F8" s="9" t="s">
        <v>88</v>
      </c>
      <c r="G8" s="9" t="s">
        <v>89</v>
      </c>
      <c r="H8" s="13" t="s">
        <v>90</v>
      </c>
      <c r="I8" s="13" t="s">
        <v>91</v>
      </c>
      <c r="J8" s="13" t="s">
        <v>49</v>
      </c>
      <c r="K8" s="13" t="s">
        <v>49</v>
      </c>
      <c r="L8" s="13" t="s">
        <v>50</v>
      </c>
      <c r="M8" s="9" t="s">
        <v>92</v>
      </c>
      <c r="N8" s="9" t="s">
        <v>93</v>
      </c>
      <c r="O8" s="1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5.75" customHeight="1">
      <c r="A9" s="13">
        <v>3.0</v>
      </c>
      <c r="B9" s="9" t="s">
        <v>94</v>
      </c>
      <c r="C9" s="13" t="s">
        <v>60</v>
      </c>
      <c r="D9" s="9" t="s">
        <v>95</v>
      </c>
      <c r="E9" s="9" t="s">
        <v>96</v>
      </c>
      <c r="F9" s="9" t="s">
        <v>97</v>
      </c>
      <c r="G9" s="9" t="s">
        <v>98</v>
      </c>
      <c r="H9" s="13" t="s">
        <v>68</v>
      </c>
      <c r="I9" s="13" t="s">
        <v>91</v>
      </c>
      <c r="J9" s="13" t="s">
        <v>49</v>
      </c>
      <c r="K9" s="13" t="s">
        <v>49</v>
      </c>
      <c r="L9" s="13" t="s">
        <v>100</v>
      </c>
      <c r="M9" s="9" t="s">
        <v>101</v>
      </c>
      <c r="N9" s="9" t="s">
        <v>103</v>
      </c>
      <c r="O9" s="1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6.75" customHeight="1">
      <c r="A10" s="13">
        <v>4.0</v>
      </c>
      <c r="B10" s="9" t="s">
        <v>107</v>
      </c>
      <c r="C10" s="13" t="s">
        <v>60</v>
      </c>
      <c r="D10" s="9" t="s">
        <v>108</v>
      </c>
      <c r="E10" s="9" t="s">
        <v>110</v>
      </c>
      <c r="F10" s="9" t="s">
        <v>111</v>
      </c>
      <c r="G10" s="9" t="s">
        <v>113</v>
      </c>
      <c r="H10" s="13" t="s">
        <v>90</v>
      </c>
      <c r="I10" s="13" t="s">
        <v>91</v>
      </c>
      <c r="J10" s="13" t="s">
        <v>49</v>
      </c>
      <c r="K10" s="13" t="s">
        <v>49</v>
      </c>
      <c r="L10" s="13" t="s">
        <v>100</v>
      </c>
      <c r="M10" s="9" t="s">
        <v>116</v>
      </c>
      <c r="N10" s="9" t="s">
        <v>103</v>
      </c>
      <c r="O10" s="1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5" t="s">
        <v>160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O1"/>
    <mergeCell ref="A2:O2"/>
    <mergeCell ref="A4:O4"/>
    <mergeCell ref="A28:O28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14.0"/>
    <col customWidth="1" min="4" max="4" width="16.0"/>
    <col customWidth="1" min="5" max="5" width="14.0"/>
    <col customWidth="1" min="6" max="6" width="18.0"/>
    <col customWidth="1" min="7" max="7" width="16.0"/>
    <col customWidth="1" min="8" max="8" width="24.0"/>
    <col customWidth="1" min="9" max="10" width="16.0"/>
    <col customWidth="1" min="11" max="11" width="34.0"/>
    <col customWidth="1" min="12" max="12" width="26.0"/>
  </cols>
  <sheetData>
    <row r="1" ht="30.0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10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6" t="s">
        <v>14</v>
      </c>
      <c r="B5" s="6" t="s">
        <v>65</v>
      </c>
      <c r="C5" s="6" t="s">
        <v>69</v>
      </c>
      <c r="D5" s="6" t="s">
        <v>70</v>
      </c>
      <c r="E5" s="6" t="s">
        <v>73</v>
      </c>
      <c r="F5" s="6" t="s">
        <v>77</v>
      </c>
      <c r="G5" s="6" t="s">
        <v>78</v>
      </c>
      <c r="H5" s="6" t="s">
        <v>79</v>
      </c>
      <c r="I5" s="6" t="s">
        <v>80</v>
      </c>
      <c r="J5" s="6" t="s">
        <v>81</v>
      </c>
      <c r="K5" s="6" t="s">
        <v>83</v>
      </c>
      <c r="L5" s="6" t="s">
        <v>87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75" customHeight="1">
      <c r="A6" s="12" t="s">
        <v>33</v>
      </c>
      <c r="B6" s="12" t="s">
        <v>99</v>
      </c>
      <c r="C6" s="12" t="s">
        <v>33</v>
      </c>
      <c r="D6" s="12" t="s">
        <v>102</v>
      </c>
      <c r="E6" s="12" t="s">
        <v>104</v>
      </c>
      <c r="F6" s="12" t="s">
        <v>105</v>
      </c>
      <c r="G6" s="12" t="s">
        <v>106</v>
      </c>
      <c r="H6" s="12" t="s">
        <v>109</v>
      </c>
      <c r="I6" s="12" t="s">
        <v>112</v>
      </c>
      <c r="J6" s="12" t="s">
        <v>114</v>
      </c>
      <c r="K6" s="12" t="s">
        <v>115</v>
      </c>
      <c r="L6" s="12" t="s">
        <v>117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0.5" customHeight="1">
      <c r="A7" s="13">
        <v>1.0</v>
      </c>
      <c r="B7" s="9" t="s">
        <v>120</v>
      </c>
      <c r="C7" s="13" t="s">
        <v>33</v>
      </c>
      <c r="D7" s="9" t="s">
        <v>121</v>
      </c>
      <c r="E7" s="13" t="s">
        <v>104</v>
      </c>
      <c r="F7" s="13" t="s">
        <v>105</v>
      </c>
      <c r="G7" s="9" t="s">
        <v>122</v>
      </c>
      <c r="H7" s="9" t="s">
        <v>124</v>
      </c>
      <c r="I7" s="9" t="s">
        <v>126</v>
      </c>
      <c r="J7" s="9" t="s">
        <v>127</v>
      </c>
      <c r="K7" s="9" t="s">
        <v>128</v>
      </c>
      <c r="L7" s="9" t="s">
        <v>129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70.5" customHeight="1">
      <c r="A8" s="13">
        <v>2.0</v>
      </c>
      <c r="B8" s="9" t="s">
        <v>132</v>
      </c>
      <c r="C8" s="13" t="s">
        <v>33</v>
      </c>
      <c r="D8" s="9" t="s">
        <v>134</v>
      </c>
      <c r="E8" s="13" t="s">
        <v>136</v>
      </c>
      <c r="F8" s="13" t="s">
        <v>105</v>
      </c>
      <c r="G8" s="9" t="s">
        <v>137</v>
      </c>
      <c r="H8" s="9" t="s">
        <v>138</v>
      </c>
      <c r="I8" s="9" t="s">
        <v>139</v>
      </c>
      <c r="J8" s="9" t="s">
        <v>140</v>
      </c>
      <c r="K8" s="9" t="s">
        <v>141</v>
      </c>
      <c r="L8" s="9" t="s">
        <v>143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1.5" customHeight="1">
      <c r="A9" s="13">
        <v>3.0</v>
      </c>
      <c r="B9" s="9" t="s">
        <v>145</v>
      </c>
      <c r="C9" s="13" t="s">
        <v>147</v>
      </c>
      <c r="D9" s="9" t="s">
        <v>149</v>
      </c>
      <c r="E9" s="13" t="s">
        <v>136</v>
      </c>
      <c r="F9" s="13" t="s">
        <v>150</v>
      </c>
      <c r="G9" s="9" t="s">
        <v>151</v>
      </c>
      <c r="H9" s="9" t="s">
        <v>152</v>
      </c>
      <c r="I9" s="9" t="s">
        <v>153</v>
      </c>
      <c r="J9" s="9" t="s">
        <v>154</v>
      </c>
      <c r="K9" s="9" t="s">
        <v>155</v>
      </c>
      <c r="L9" s="9" t="s">
        <v>156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5" t="s">
        <v>175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L1"/>
    <mergeCell ref="A2:L2"/>
    <mergeCell ref="A4:L4"/>
    <mergeCell ref="A23:L23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26.0"/>
    <col customWidth="1" min="4" max="4" width="30.0"/>
    <col customWidth="1" min="5" max="5" width="28.0"/>
    <col customWidth="1" min="6" max="6" width="18.0"/>
    <col customWidth="1" min="7" max="7" width="24.0"/>
    <col customWidth="1" min="8" max="8" width="20.0"/>
    <col customWidth="1" min="9" max="9" width="22.0"/>
    <col customWidth="1" min="10" max="10" width="36.0"/>
  </cols>
  <sheetData>
    <row r="1" ht="30.0" customHeight="1">
      <c r="A1" s="1" t="s">
        <v>190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191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10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6" t="s">
        <v>14</v>
      </c>
      <c r="B5" s="6" t="s">
        <v>192</v>
      </c>
      <c r="C5" s="6" t="s">
        <v>193</v>
      </c>
      <c r="D5" s="6" t="s">
        <v>194</v>
      </c>
      <c r="E5" s="6" t="s">
        <v>195</v>
      </c>
      <c r="F5" s="6" t="s">
        <v>196</v>
      </c>
      <c r="G5" s="6" t="s">
        <v>197</v>
      </c>
      <c r="H5" s="6" t="s">
        <v>198</v>
      </c>
      <c r="I5" s="6" t="s">
        <v>199</v>
      </c>
      <c r="J5" s="6" t="s">
        <v>83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75" customHeight="1">
      <c r="A6" s="12" t="s">
        <v>33</v>
      </c>
      <c r="B6" s="12" t="s">
        <v>200</v>
      </c>
      <c r="C6" s="12" t="s">
        <v>201</v>
      </c>
      <c r="D6" s="12" t="s">
        <v>202</v>
      </c>
      <c r="E6" s="12" t="s">
        <v>203</v>
      </c>
      <c r="F6" s="12" t="s">
        <v>204</v>
      </c>
      <c r="G6" s="12" t="s">
        <v>205</v>
      </c>
      <c r="H6" s="12" t="s">
        <v>206</v>
      </c>
      <c r="I6" s="12" t="s">
        <v>207</v>
      </c>
      <c r="J6" s="12" t="s">
        <v>208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3.0" customHeight="1">
      <c r="A7" s="13">
        <v>1.0</v>
      </c>
      <c r="B7" s="9" t="s">
        <v>209</v>
      </c>
      <c r="C7" s="9" t="s">
        <v>210</v>
      </c>
      <c r="D7" s="9" t="s">
        <v>211</v>
      </c>
      <c r="E7" s="9" t="s">
        <v>212</v>
      </c>
      <c r="F7" s="9" t="s">
        <v>213</v>
      </c>
      <c r="G7" s="13" t="s">
        <v>205</v>
      </c>
      <c r="H7" s="9" t="s">
        <v>214</v>
      </c>
      <c r="I7" s="13" t="s">
        <v>207</v>
      </c>
      <c r="J7" s="9" t="s">
        <v>215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3.25" customHeight="1">
      <c r="A8" s="13">
        <v>2.0</v>
      </c>
      <c r="B8" s="9" t="s">
        <v>216</v>
      </c>
      <c r="C8" s="9" t="s">
        <v>217</v>
      </c>
      <c r="D8" s="9" t="s">
        <v>218</v>
      </c>
      <c r="E8" s="9" t="s">
        <v>219</v>
      </c>
      <c r="F8" s="9" t="s">
        <v>220</v>
      </c>
      <c r="G8" s="13" t="s">
        <v>205</v>
      </c>
      <c r="H8" s="9" t="s">
        <v>221</v>
      </c>
      <c r="I8" s="13" t="s">
        <v>207</v>
      </c>
      <c r="J8" s="9" t="s">
        <v>222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9.5" customHeight="1">
      <c r="A9" s="13">
        <v>3.0</v>
      </c>
      <c r="B9" s="9" t="s">
        <v>223</v>
      </c>
      <c r="C9" s="9" t="s">
        <v>224</v>
      </c>
      <c r="D9" s="9" t="s">
        <v>225</v>
      </c>
      <c r="E9" s="9" t="s">
        <v>226</v>
      </c>
      <c r="F9" s="9" t="s">
        <v>227</v>
      </c>
      <c r="G9" s="13" t="s">
        <v>205</v>
      </c>
      <c r="H9" s="9" t="s">
        <v>228</v>
      </c>
      <c r="I9" s="13" t="s">
        <v>207</v>
      </c>
      <c r="J9" s="9" t="s">
        <v>229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5.5" customHeight="1">
      <c r="A10" s="13">
        <v>4.0</v>
      </c>
      <c r="B10" s="9" t="s">
        <v>230</v>
      </c>
      <c r="C10" s="9" t="s">
        <v>231</v>
      </c>
      <c r="D10" s="9" t="s">
        <v>232</v>
      </c>
      <c r="E10" s="9" t="s">
        <v>233</v>
      </c>
      <c r="F10" s="9" t="s">
        <v>234</v>
      </c>
      <c r="G10" s="13" t="s">
        <v>205</v>
      </c>
      <c r="H10" s="9" t="s">
        <v>221</v>
      </c>
      <c r="I10" s="13" t="s">
        <v>207</v>
      </c>
      <c r="J10" s="9" t="s">
        <v>235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1.75" customHeight="1">
      <c r="A11" s="13">
        <v>5.0</v>
      </c>
      <c r="B11" s="9" t="s">
        <v>236</v>
      </c>
      <c r="C11" s="9" t="s">
        <v>237</v>
      </c>
      <c r="D11" s="9" t="s">
        <v>238</v>
      </c>
      <c r="E11" s="9" t="s">
        <v>239</v>
      </c>
      <c r="F11" s="9" t="s">
        <v>240</v>
      </c>
      <c r="G11" s="13" t="s">
        <v>205</v>
      </c>
      <c r="H11" s="9" t="s">
        <v>228</v>
      </c>
      <c r="I11" s="13" t="s">
        <v>207</v>
      </c>
      <c r="J11" s="9" t="s">
        <v>241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15" t="s">
        <v>242</v>
      </c>
      <c r="B23" s="2"/>
      <c r="C23" s="2"/>
      <c r="D23" s="2"/>
      <c r="E23" s="2"/>
      <c r="F23" s="2"/>
      <c r="G23" s="2"/>
      <c r="H23" s="2"/>
      <c r="I23" s="2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7.5" customHeight="1">
      <c r="A24" s="30" t="s">
        <v>14</v>
      </c>
      <c r="B24" s="30" t="s">
        <v>243</v>
      </c>
      <c r="C24" s="30" t="s">
        <v>244</v>
      </c>
      <c r="D24" s="30" t="s">
        <v>245</v>
      </c>
      <c r="E24" s="30" t="s">
        <v>246</v>
      </c>
      <c r="F24" s="30" t="s">
        <v>247</v>
      </c>
      <c r="G24" s="30" t="s">
        <v>248</v>
      </c>
      <c r="H24" s="30" t="s">
        <v>249</v>
      </c>
      <c r="I24" s="30" t="s">
        <v>250</v>
      </c>
      <c r="J24" s="30" t="s">
        <v>251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75" customHeight="1">
      <c r="A25" s="12" t="s">
        <v>33</v>
      </c>
      <c r="B25" s="12" t="s">
        <v>252</v>
      </c>
      <c r="C25" s="12" t="s">
        <v>253</v>
      </c>
      <c r="D25" s="12" t="s">
        <v>254</v>
      </c>
      <c r="E25" s="12" t="s">
        <v>255</v>
      </c>
      <c r="F25" s="12" t="s">
        <v>205</v>
      </c>
      <c r="G25" s="12" t="s">
        <v>228</v>
      </c>
      <c r="H25" s="12" t="s">
        <v>256</v>
      </c>
      <c r="I25" s="12" t="s">
        <v>257</v>
      </c>
      <c r="J25" s="12" t="s">
        <v>258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75" customHeight="1">
      <c r="A26" s="13">
        <v>1.0</v>
      </c>
      <c r="B26" s="9" t="s">
        <v>259</v>
      </c>
      <c r="C26" s="9" t="s">
        <v>260</v>
      </c>
      <c r="D26" s="13" t="s">
        <v>261</v>
      </c>
      <c r="E26" s="13" t="s">
        <v>255</v>
      </c>
      <c r="F26" s="13" t="s">
        <v>262</v>
      </c>
      <c r="G26" s="13" t="s">
        <v>221</v>
      </c>
      <c r="H26" s="9" t="s">
        <v>263</v>
      </c>
      <c r="I26" s="9" t="s">
        <v>264</v>
      </c>
      <c r="J26" s="9" t="s">
        <v>265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75" customHeight="1">
      <c r="A27" s="13">
        <v>2.0</v>
      </c>
      <c r="B27" s="9" t="s">
        <v>266</v>
      </c>
      <c r="C27" s="9" t="s">
        <v>267</v>
      </c>
      <c r="D27" s="13" t="s">
        <v>268</v>
      </c>
      <c r="E27" s="13" t="s">
        <v>255</v>
      </c>
      <c r="F27" s="13" t="s">
        <v>205</v>
      </c>
      <c r="G27" s="13" t="s">
        <v>228</v>
      </c>
      <c r="H27" s="9" t="s">
        <v>269</v>
      </c>
      <c r="I27" s="9" t="s">
        <v>270</v>
      </c>
      <c r="J27" s="9" t="s">
        <v>271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75" customHeight="1">
      <c r="A28" s="13">
        <v>3.0</v>
      </c>
      <c r="B28" s="9" t="s">
        <v>272</v>
      </c>
      <c r="C28" s="9" t="s">
        <v>273</v>
      </c>
      <c r="D28" s="13" t="s">
        <v>254</v>
      </c>
      <c r="E28" s="13" t="s">
        <v>255</v>
      </c>
      <c r="F28" s="13" t="s">
        <v>205</v>
      </c>
      <c r="G28" s="13" t="s">
        <v>221</v>
      </c>
      <c r="H28" s="9" t="s">
        <v>274</v>
      </c>
      <c r="I28" s="9" t="s">
        <v>275</v>
      </c>
      <c r="J28" s="9" t="s">
        <v>276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75" customHeight="1">
      <c r="A29" s="13">
        <v>4.0</v>
      </c>
      <c r="B29" s="9" t="s">
        <v>277</v>
      </c>
      <c r="C29" s="9" t="s">
        <v>278</v>
      </c>
      <c r="D29" s="13" t="s">
        <v>279</v>
      </c>
      <c r="E29" s="13" t="s">
        <v>255</v>
      </c>
      <c r="F29" s="13" t="s">
        <v>205</v>
      </c>
      <c r="G29" s="13" t="s">
        <v>228</v>
      </c>
      <c r="H29" s="9" t="s">
        <v>280</v>
      </c>
      <c r="I29" s="9" t="s">
        <v>281</v>
      </c>
      <c r="J29" s="9" t="s">
        <v>282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75" customHeight="1">
      <c r="A30" s="13">
        <v>5.0</v>
      </c>
      <c r="B30" s="9" t="s">
        <v>283</v>
      </c>
      <c r="C30" s="9" t="s">
        <v>284</v>
      </c>
      <c r="D30" s="13" t="s">
        <v>285</v>
      </c>
      <c r="E30" s="13" t="s">
        <v>255</v>
      </c>
      <c r="F30" s="13" t="s">
        <v>205</v>
      </c>
      <c r="G30" s="13" t="s">
        <v>286</v>
      </c>
      <c r="H30" s="9" t="s">
        <v>287</v>
      </c>
      <c r="I30" s="9" t="s">
        <v>288</v>
      </c>
      <c r="J30" s="9" t="s">
        <v>289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75" customHeight="1">
      <c r="A31" s="13">
        <v>6.0</v>
      </c>
      <c r="B31" s="9" t="s">
        <v>290</v>
      </c>
      <c r="C31" s="9" t="s">
        <v>291</v>
      </c>
      <c r="D31" s="13" t="s">
        <v>292</v>
      </c>
      <c r="E31" s="13" t="s">
        <v>255</v>
      </c>
      <c r="F31" s="13" t="s">
        <v>205</v>
      </c>
      <c r="G31" s="13" t="s">
        <v>221</v>
      </c>
      <c r="H31" s="9" t="s">
        <v>293</v>
      </c>
      <c r="I31" s="9" t="s">
        <v>294</v>
      </c>
      <c r="J31" s="9" t="s">
        <v>295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5" t="s">
        <v>296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J1"/>
    <mergeCell ref="A2:J2"/>
    <mergeCell ref="A4:J4"/>
    <mergeCell ref="A23:J23"/>
    <mergeCell ref="A37:J37"/>
  </mergeCells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26.0"/>
    <col customWidth="1" min="4" max="4" width="16.0"/>
    <col customWidth="1" min="5" max="5" width="20.0"/>
    <col customWidth="1" min="6" max="6" width="14.0"/>
    <col customWidth="1" min="7" max="7" width="16.0"/>
    <col customWidth="1" min="8" max="8" width="18.0"/>
    <col customWidth="1" min="9" max="10" width="22.0"/>
    <col customWidth="1" min="11" max="11" width="24.0"/>
    <col customWidth="1" min="12" max="12" width="16.0"/>
    <col customWidth="1" min="13" max="13" width="34.0"/>
  </cols>
  <sheetData>
    <row r="1" ht="30.0" customHeight="1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298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10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6" t="s">
        <v>14</v>
      </c>
      <c r="B5" s="6" t="s">
        <v>299</v>
      </c>
      <c r="C5" s="6" t="s">
        <v>300</v>
      </c>
      <c r="D5" s="6" t="s">
        <v>301</v>
      </c>
      <c r="E5" s="6" t="s">
        <v>302</v>
      </c>
      <c r="F5" s="6" t="s">
        <v>303</v>
      </c>
      <c r="G5" s="6" t="s">
        <v>304</v>
      </c>
      <c r="H5" s="6" t="s">
        <v>305</v>
      </c>
      <c r="I5" s="6" t="s">
        <v>306</v>
      </c>
      <c r="J5" s="6" t="s">
        <v>307</v>
      </c>
      <c r="K5" s="6" t="s">
        <v>308</v>
      </c>
      <c r="L5" s="6" t="s">
        <v>309</v>
      </c>
      <c r="M5" s="6" t="s">
        <v>83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75" customHeight="1">
      <c r="A6" s="12" t="s">
        <v>33</v>
      </c>
      <c r="B6" s="12" t="s">
        <v>310</v>
      </c>
      <c r="C6" s="12" t="s">
        <v>311</v>
      </c>
      <c r="D6" s="12" t="s">
        <v>312</v>
      </c>
      <c r="E6" s="12" t="s">
        <v>313</v>
      </c>
      <c r="F6" s="12" t="s">
        <v>105</v>
      </c>
      <c r="G6" s="12" t="s">
        <v>314</v>
      </c>
      <c r="H6" s="12" t="s">
        <v>315</v>
      </c>
      <c r="I6" s="12" t="s">
        <v>316</v>
      </c>
      <c r="J6" s="12" t="s">
        <v>317</v>
      </c>
      <c r="K6" s="12" t="s">
        <v>318</v>
      </c>
      <c r="L6" s="12" t="s">
        <v>319</v>
      </c>
      <c r="M6" s="12" t="s">
        <v>320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9.25" customHeight="1">
      <c r="A7" s="13">
        <v>1.0</v>
      </c>
      <c r="B7" s="9" t="s">
        <v>321</v>
      </c>
      <c r="C7" s="9" t="s">
        <v>322</v>
      </c>
      <c r="D7" s="13" t="s">
        <v>312</v>
      </c>
      <c r="E7" s="9" t="s">
        <v>323</v>
      </c>
      <c r="F7" s="13" t="s">
        <v>105</v>
      </c>
      <c r="G7" s="9" t="s">
        <v>324</v>
      </c>
      <c r="H7" s="9" t="s">
        <v>325</v>
      </c>
      <c r="I7" s="9" t="s">
        <v>326</v>
      </c>
      <c r="J7" s="9" t="s">
        <v>327</v>
      </c>
      <c r="K7" s="9" t="s">
        <v>318</v>
      </c>
      <c r="L7" s="9" t="s">
        <v>328</v>
      </c>
      <c r="M7" s="9" t="s">
        <v>329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75.0" customHeight="1">
      <c r="A8" s="13">
        <v>2.0</v>
      </c>
      <c r="B8" s="9" t="s">
        <v>330</v>
      </c>
      <c r="C8" s="9" t="s">
        <v>331</v>
      </c>
      <c r="D8" s="13" t="s">
        <v>332</v>
      </c>
      <c r="E8" s="9" t="s">
        <v>333</v>
      </c>
      <c r="F8" s="13" t="s">
        <v>150</v>
      </c>
      <c r="G8" s="9" t="s">
        <v>334</v>
      </c>
      <c r="H8" s="9" t="s">
        <v>335</v>
      </c>
      <c r="I8" s="9" t="s">
        <v>336</v>
      </c>
      <c r="J8" s="9" t="s">
        <v>337</v>
      </c>
      <c r="K8" s="9" t="s">
        <v>338</v>
      </c>
      <c r="L8" s="9" t="s">
        <v>339</v>
      </c>
      <c r="M8" s="9" t="s">
        <v>340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5" t="s">
        <v>341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M1"/>
    <mergeCell ref="A2:M2"/>
    <mergeCell ref="A4:M4"/>
    <mergeCell ref="A18:M18"/>
  </mergeCells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4" width="20.0"/>
    <col customWidth="1" min="5" max="5" width="34.0"/>
    <col customWidth="1" min="6" max="6" width="12.0"/>
    <col customWidth="1" min="7" max="7" width="14.0"/>
    <col customWidth="1" min="8" max="8" width="18.0"/>
    <col customWidth="1" min="9" max="9" width="26.0"/>
    <col customWidth="1" min="10" max="10" width="18.0"/>
    <col customWidth="1" min="11" max="11" width="16.0"/>
    <col customWidth="1" min="12" max="12" width="28.0"/>
  </cols>
  <sheetData>
    <row r="1" ht="30.0" customHeight="1">
      <c r="A1" s="1" t="s">
        <v>342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343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10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6" t="s">
        <v>14</v>
      </c>
      <c r="B5" s="6" t="s">
        <v>344</v>
      </c>
      <c r="C5" s="6" t="s">
        <v>345</v>
      </c>
      <c r="D5" s="6" t="s">
        <v>346</v>
      </c>
      <c r="E5" s="6" t="s">
        <v>347</v>
      </c>
      <c r="F5" s="6" t="s">
        <v>348</v>
      </c>
      <c r="G5" s="6" t="s">
        <v>349</v>
      </c>
      <c r="H5" s="6" t="s">
        <v>350</v>
      </c>
      <c r="I5" s="6" t="s">
        <v>351</v>
      </c>
      <c r="J5" s="6" t="s">
        <v>352</v>
      </c>
      <c r="K5" s="6" t="s">
        <v>353</v>
      </c>
      <c r="L5" s="6" t="s">
        <v>354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75" customHeight="1">
      <c r="A6" s="12" t="s">
        <v>33</v>
      </c>
      <c r="B6" s="12" t="s">
        <v>355</v>
      </c>
      <c r="C6" s="12" t="s">
        <v>356</v>
      </c>
      <c r="D6" s="12" t="s">
        <v>357</v>
      </c>
      <c r="E6" s="12" t="s">
        <v>358</v>
      </c>
      <c r="F6" s="12" t="s">
        <v>359</v>
      </c>
      <c r="G6" s="12" t="s">
        <v>360</v>
      </c>
      <c r="H6" s="12" t="s">
        <v>361</v>
      </c>
      <c r="I6" s="12" t="s">
        <v>362</v>
      </c>
      <c r="J6" s="12" t="s">
        <v>363</v>
      </c>
      <c r="K6" s="12" t="s">
        <v>364</v>
      </c>
      <c r="L6" s="12" t="s">
        <v>365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6.25" customHeight="1">
      <c r="A7" s="13">
        <v>1.0</v>
      </c>
      <c r="B7" s="9" t="s">
        <v>366</v>
      </c>
      <c r="C7" s="9" t="s">
        <v>367</v>
      </c>
      <c r="D7" s="9" t="s">
        <v>368</v>
      </c>
      <c r="E7" s="9" t="s">
        <v>369</v>
      </c>
      <c r="F7" s="13" t="s">
        <v>370</v>
      </c>
      <c r="G7" s="13" t="s">
        <v>360</v>
      </c>
      <c r="H7" s="9" t="s">
        <v>371</v>
      </c>
      <c r="I7" s="9" t="s">
        <v>372</v>
      </c>
      <c r="J7" s="9" t="s">
        <v>373</v>
      </c>
      <c r="K7" s="9" t="s">
        <v>374</v>
      </c>
      <c r="L7" s="9" t="s">
        <v>375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87.0" customHeight="1">
      <c r="A8" s="13">
        <v>2.0</v>
      </c>
      <c r="B8" s="9" t="s">
        <v>376</v>
      </c>
      <c r="C8" s="9" t="s">
        <v>377</v>
      </c>
      <c r="D8" s="9" t="s">
        <v>378</v>
      </c>
      <c r="E8" s="9" t="s">
        <v>379</v>
      </c>
      <c r="F8" s="13" t="s">
        <v>370</v>
      </c>
      <c r="G8" s="13" t="s">
        <v>360</v>
      </c>
      <c r="H8" s="9" t="s">
        <v>380</v>
      </c>
      <c r="I8" s="9" t="s">
        <v>381</v>
      </c>
      <c r="J8" s="9" t="s">
        <v>382</v>
      </c>
      <c r="K8" s="9" t="s">
        <v>374</v>
      </c>
      <c r="L8" s="9" t="s">
        <v>383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2.0" customHeight="1">
      <c r="A9" s="13">
        <v>3.0</v>
      </c>
      <c r="B9" s="9" t="s">
        <v>384</v>
      </c>
      <c r="C9" s="9" t="s">
        <v>385</v>
      </c>
      <c r="D9" s="9" t="s">
        <v>386</v>
      </c>
      <c r="E9" s="9" t="s">
        <v>387</v>
      </c>
      <c r="F9" s="13" t="s">
        <v>388</v>
      </c>
      <c r="G9" s="13" t="s">
        <v>389</v>
      </c>
      <c r="H9" s="9" t="s">
        <v>390</v>
      </c>
      <c r="I9" s="9" t="s">
        <v>391</v>
      </c>
      <c r="J9" s="9" t="s">
        <v>392</v>
      </c>
      <c r="K9" s="9" t="s">
        <v>374</v>
      </c>
      <c r="L9" s="9" t="s">
        <v>393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5" t="s">
        <v>394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L1"/>
    <mergeCell ref="A2:L2"/>
    <mergeCell ref="A4:L4"/>
    <mergeCell ref="A23:L23"/>
  </mergeCells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3" width="70.0"/>
    <col customWidth="1" min="4" max="4" width="44.0"/>
    <col customWidth="1" min="5" max="6" width="8.71"/>
  </cols>
  <sheetData>
    <row r="1" ht="30.0" customHeight="1">
      <c r="A1" s="1" t="s">
        <v>395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396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397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6" t="s">
        <v>398</v>
      </c>
      <c r="B5" s="6" t="s">
        <v>399</v>
      </c>
      <c r="C5" s="6" t="s">
        <v>7</v>
      </c>
      <c r="D5" s="6" t="s">
        <v>400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9.75" customHeight="1">
      <c r="A6" s="31">
        <v>1.0</v>
      </c>
      <c r="B6" s="7" t="s">
        <v>401</v>
      </c>
      <c r="C6" s="9" t="s">
        <v>402</v>
      </c>
      <c r="D6" s="32" t="s">
        <v>403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31">
        <v>2.0</v>
      </c>
      <c r="B7" s="7" t="s">
        <v>404</v>
      </c>
      <c r="C7" s="9" t="s">
        <v>405</v>
      </c>
      <c r="D7" s="32" t="s">
        <v>406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31">
        <v>3.0</v>
      </c>
      <c r="B8" s="7" t="s">
        <v>407</v>
      </c>
      <c r="C8" s="9" t="s">
        <v>408</v>
      </c>
      <c r="D8" s="32" t="s">
        <v>409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75" customHeight="1">
      <c r="A9" s="31">
        <v>4.0</v>
      </c>
      <c r="B9" s="7" t="s">
        <v>410</v>
      </c>
      <c r="C9" s="9" t="s">
        <v>411</v>
      </c>
      <c r="D9" s="32" t="s">
        <v>412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1.75" customHeight="1">
      <c r="A10" s="31">
        <v>5.0</v>
      </c>
      <c r="B10" s="7" t="s">
        <v>413</v>
      </c>
      <c r="C10" s="9" t="s">
        <v>414</v>
      </c>
      <c r="D10" s="32" t="s">
        <v>415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5.75" customHeight="1">
      <c r="A11" s="31">
        <v>6.0</v>
      </c>
      <c r="B11" s="7" t="s">
        <v>416</v>
      </c>
      <c r="C11" s="9" t="s">
        <v>417</v>
      </c>
      <c r="D11" s="32" t="s">
        <v>418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75" customHeight="1">
      <c r="A12" s="31">
        <v>7.0</v>
      </c>
      <c r="B12" s="7" t="s">
        <v>419</v>
      </c>
      <c r="C12" s="9" t="s">
        <v>420</v>
      </c>
      <c r="D12" s="32" t="s">
        <v>421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.75" customHeight="1">
      <c r="A13" s="31">
        <v>8.0</v>
      </c>
      <c r="B13" s="7" t="s">
        <v>422</v>
      </c>
      <c r="C13" s="9" t="s">
        <v>423</v>
      </c>
      <c r="D13" s="32" t="s">
        <v>424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.75" customHeight="1">
      <c r="A14" s="31">
        <v>9.0</v>
      </c>
      <c r="B14" s="7" t="s">
        <v>425</v>
      </c>
      <c r="C14" s="9" t="s">
        <v>426</v>
      </c>
      <c r="D14" s="32" t="s">
        <v>427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.75" customHeight="1">
      <c r="A15" s="31">
        <v>10.0</v>
      </c>
      <c r="B15" s="33" t="s">
        <v>428</v>
      </c>
      <c r="C15" s="9" t="s">
        <v>429</v>
      </c>
      <c r="D15" s="32" t="s">
        <v>430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9.75" customHeight="1">
      <c r="A16" s="31">
        <v>11.0</v>
      </c>
      <c r="B16" s="33" t="s">
        <v>431</v>
      </c>
      <c r="C16" s="9" t="s">
        <v>432</v>
      </c>
      <c r="D16" s="32" t="s">
        <v>433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9.75" customHeight="1">
      <c r="A17" s="31">
        <v>12.0</v>
      </c>
      <c r="B17" s="33" t="s">
        <v>434</v>
      </c>
      <c r="C17" s="9" t="s">
        <v>435</v>
      </c>
      <c r="D17" s="32" t="s">
        <v>436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9.75" customHeight="1">
      <c r="A18" s="31">
        <v>13.0</v>
      </c>
      <c r="B18" s="7" t="s">
        <v>437</v>
      </c>
      <c r="C18" s="9" t="s">
        <v>438</v>
      </c>
      <c r="D18" s="32" t="s">
        <v>427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9.75" customHeight="1">
      <c r="A19" s="31">
        <v>14.0</v>
      </c>
      <c r="B19" s="33" t="s">
        <v>439</v>
      </c>
      <c r="C19" s="9" t="s">
        <v>440</v>
      </c>
      <c r="D19" s="32" t="s">
        <v>430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9.75" customHeight="1">
      <c r="A20" s="31">
        <v>15.0</v>
      </c>
      <c r="B20" s="33" t="s">
        <v>441</v>
      </c>
      <c r="C20" s="9" t="s">
        <v>442</v>
      </c>
      <c r="D20" s="32" t="s">
        <v>433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9.75" customHeight="1">
      <c r="A21" s="31">
        <v>16.0</v>
      </c>
      <c r="B21" s="33" t="s">
        <v>434</v>
      </c>
      <c r="C21" s="9" t="s">
        <v>443</v>
      </c>
      <c r="D21" s="32" t="s">
        <v>436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31">
        <v>17.0</v>
      </c>
      <c r="B22" s="7" t="s">
        <v>444</v>
      </c>
      <c r="C22" s="9" t="s">
        <v>445</v>
      </c>
      <c r="D22" s="32" t="s">
        <v>446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31">
        <v>18.0</v>
      </c>
      <c r="B23" s="7" t="s">
        <v>447</v>
      </c>
      <c r="C23" s="9" t="s">
        <v>448</v>
      </c>
      <c r="D23" s="32" t="s">
        <v>449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9.75" customHeight="1">
      <c r="A24" s="31">
        <v>19.0</v>
      </c>
      <c r="B24" s="7" t="s">
        <v>450</v>
      </c>
      <c r="C24" s="9" t="s">
        <v>451</v>
      </c>
      <c r="D24" s="32" t="s">
        <v>452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9.75" customHeight="1">
      <c r="A25" s="31">
        <v>20.0</v>
      </c>
      <c r="B25" s="7" t="s">
        <v>453</v>
      </c>
      <c r="C25" s="9" t="s">
        <v>454</v>
      </c>
      <c r="D25" s="32" t="s">
        <v>455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9.75" customHeight="1">
      <c r="A26" s="31">
        <v>21.0</v>
      </c>
      <c r="B26" s="7" t="s">
        <v>456</v>
      </c>
      <c r="C26" s="9" t="s">
        <v>457</v>
      </c>
      <c r="D26" s="32" t="s">
        <v>458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D1"/>
    <mergeCell ref="A2:D2"/>
    <mergeCell ref="A4:D4"/>
  </mergeCells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33.43"/>
    <col customWidth="1" min="3" max="3" width="23.43"/>
    <col customWidth="1" min="4" max="4" width="22.14"/>
    <col customWidth="1" min="5" max="5" width="21.0"/>
    <col customWidth="1" min="6" max="6" width="32.86"/>
    <col customWidth="1" min="7" max="7" width="28.0"/>
    <col customWidth="1" min="8" max="26" width="8.71"/>
  </cols>
  <sheetData>
    <row r="1">
      <c r="A1" s="34" t="s">
        <v>459</v>
      </c>
      <c r="B1" s="34"/>
      <c r="C1" s="34"/>
      <c r="D1" s="34"/>
      <c r="E1" s="34"/>
      <c r="F1" s="34"/>
      <c r="G1" s="34"/>
    </row>
    <row r="2">
      <c r="A2" s="34" t="s">
        <v>460</v>
      </c>
      <c r="B2" s="34"/>
      <c r="C2" s="34"/>
      <c r="D2" s="34"/>
      <c r="E2" s="34"/>
      <c r="F2" s="34"/>
      <c r="G2" s="34"/>
    </row>
    <row r="3">
      <c r="A3" s="34"/>
      <c r="B3" s="34"/>
      <c r="C3" s="34"/>
      <c r="D3" s="34"/>
      <c r="E3" s="34"/>
      <c r="F3" s="34"/>
      <c r="G3" s="34"/>
    </row>
    <row r="4">
      <c r="A4" s="34" t="s">
        <v>10</v>
      </c>
      <c r="B4" s="34"/>
      <c r="C4" s="34"/>
      <c r="D4" s="34"/>
      <c r="E4" s="34"/>
      <c r="F4" s="34"/>
      <c r="G4" s="34"/>
    </row>
    <row r="5">
      <c r="A5" s="35" t="s">
        <v>14</v>
      </c>
      <c r="B5" s="35" t="s">
        <v>461</v>
      </c>
      <c r="C5" s="35" t="s">
        <v>462</v>
      </c>
      <c r="D5" s="35" t="s">
        <v>463</v>
      </c>
      <c r="E5" s="35" t="s">
        <v>464</v>
      </c>
      <c r="F5" s="35" t="s">
        <v>465</v>
      </c>
      <c r="G5" s="35" t="s">
        <v>466</v>
      </c>
    </row>
    <row r="6">
      <c r="A6" s="34" t="s">
        <v>33</v>
      </c>
      <c r="B6" s="34" t="s">
        <v>467</v>
      </c>
      <c r="C6" s="34" t="s">
        <v>47</v>
      </c>
      <c r="D6" s="34" t="s">
        <v>468</v>
      </c>
      <c r="E6" s="34" t="s">
        <v>469</v>
      </c>
      <c r="F6" s="34" t="s">
        <v>470</v>
      </c>
      <c r="G6" s="34" t="s">
        <v>471</v>
      </c>
    </row>
    <row r="7">
      <c r="A7" s="36">
        <v>1.0</v>
      </c>
      <c r="B7" s="37" t="s">
        <v>472</v>
      </c>
      <c r="C7" s="36" t="s">
        <v>47</v>
      </c>
      <c r="D7" s="36" t="s">
        <v>468</v>
      </c>
      <c r="E7" s="37" t="s">
        <v>473</v>
      </c>
      <c r="F7" s="37" t="s">
        <v>374</v>
      </c>
      <c r="G7" s="37" t="s">
        <v>474</v>
      </c>
    </row>
    <row r="8">
      <c r="A8" s="36">
        <v>2.0</v>
      </c>
      <c r="B8" s="37" t="s">
        <v>475</v>
      </c>
      <c r="C8" s="36" t="s">
        <v>49</v>
      </c>
      <c r="D8" s="36" t="s">
        <v>476</v>
      </c>
      <c r="E8" s="37" t="s">
        <v>477</v>
      </c>
      <c r="F8" s="37" t="s">
        <v>374</v>
      </c>
      <c r="G8" s="37" t="s">
        <v>478</v>
      </c>
    </row>
    <row r="9">
      <c r="A9" s="36">
        <v>3.0</v>
      </c>
      <c r="B9" s="37" t="s">
        <v>479</v>
      </c>
      <c r="C9" s="36" t="s">
        <v>91</v>
      </c>
      <c r="D9" s="36" t="s">
        <v>476</v>
      </c>
      <c r="E9" s="37" t="s">
        <v>480</v>
      </c>
      <c r="F9" s="37" t="s">
        <v>374</v>
      </c>
      <c r="G9" s="37" t="s">
        <v>481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