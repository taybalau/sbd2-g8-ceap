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ções" sheetId="1" state="visible" r:id="rId1"/>
    <sheet name="Identificação" sheetId="2" state="visible" r:id="rId2"/>
    <sheet name="1 Fontes" sheetId="3" state="visible" r:id="rId3"/>
    <sheet name="2 Formatos" sheetId="4" state="visible" r:id="rId4"/>
    <sheet name="3 Modelos" sheetId="5" state="visible" r:id="rId5"/>
    <sheet name="4 Cargas e Engines" sheetId="6" state="visible" r:id="rId6"/>
    <sheet name="5 Pipeline" sheetId="7" state="visible" r:id="rId7"/>
    <sheet name="ADR" sheetId="8" state="visible" r:id="rId8"/>
    <sheet name="Risc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i val="1"/>
      <color rgb="FF45606B"/>
      <sz val="9"/>
    </font>
    <font>
      <name val="Arial"/>
      <b val="1"/>
      <color rgb="FFFFFFFF"/>
      <sz val="9"/>
    </font>
    <font>
      <name val="Arial"/>
      <i val="1"/>
      <color rgb="FFD97D25"/>
      <sz val="9"/>
    </font>
    <font>
      <name val="Arial"/>
      <b val="1"/>
      <color rgb="FFFFFFFF"/>
      <sz val="10"/>
    </font>
    <font>
      <name val="Arial"/>
      <b val="1"/>
      <color rgb="FF12232E"/>
      <sz val="10"/>
    </font>
    <font>
      <name val="Arial"/>
      <i val="1"/>
      <color rgb="FF808080"/>
      <sz val="10"/>
    </font>
    <font>
      <name val="Arial"/>
      <color theme="1"/>
      <sz val="10"/>
    </font>
    <font>
      <name val="Arial"/>
      <i val="1"/>
      <color rgb="FF808080"/>
      <sz val="9"/>
    </font>
    <font>
      <name val="Arial"/>
      <color rgb="FF000000"/>
      <sz val="10"/>
    </font>
    <font>
      <name val="Arial"/>
      <b val="1"/>
      <color rgb="FF000000"/>
      <sz val="9"/>
    </font>
    <font>
      <name val="Arial"/>
      <b val="1"/>
      <i val="1"/>
      <color rgb="FF808080"/>
      <sz val="9"/>
    </font>
    <font>
      <name val="Arial"/>
      <b val="1"/>
      <color rgb="FF12232E"/>
      <sz val="9"/>
    </font>
    <font>
      <name val="Arial"/>
      <b val="1"/>
      <color theme="1"/>
      <sz val="10"/>
    </font>
    <font>
      <name val="Arial"/>
      <color rgb="FF808080"/>
      <sz val="9"/>
    </font>
    <font>
      <name val="Arial"/>
      <color rgb="FF12232E"/>
      <sz val="10"/>
    </font>
    <font>
      <name val="Calibri"/>
      <sz val="11"/>
    </font>
    <font>
      <name val="Calibri"/>
      <b val="1"/>
      <sz val="11"/>
    </font>
  </fonts>
  <fills count="10">
    <fill>
      <patternFill/>
    </fill>
    <fill>
      <patternFill patternType="lightGray"/>
    </fill>
    <fill>
      <patternFill patternType="solid">
        <fgColor rgb="FF12232E"/>
        <bgColor rgb="FF12232E"/>
      </patternFill>
    </fill>
    <fill>
      <patternFill patternType="solid">
        <fgColor rgb="FF028090"/>
        <bgColor rgb="FF028090"/>
      </patternFill>
    </fill>
    <fill>
      <patternFill patternType="solid">
        <fgColor rgb="FF1B3A4B"/>
        <bgColor rgb="FF1B3A4B"/>
      </patternFill>
    </fill>
    <fill>
      <patternFill patternType="solid">
        <fgColor rgb="FFF4F4F4"/>
        <bgColor rgb="FFF4F4F4"/>
      </patternFill>
    </fill>
    <fill>
      <patternFill patternType="solid">
        <fgColor rgb="FFFFFDF0"/>
        <bgColor rgb="FFFFFDF0"/>
      </patternFill>
    </fill>
    <fill>
      <patternFill patternType="solid">
        <fgColor rgb="FFEDF4F4"/>
        <bgColor rgb="FFEDF4F4"/>
      </patternFill>
    </fill>
    <fill>
      <patternFill patternType="solid">
        <fgColor rgb="FFD97D25"/>
        <bgColor rgb="FFD97D25"/>
      </patternFill>
    </fill>
    <fill>
      <patternFill patternType="solid">
        <fgColor rgb="00FFF9D6"/>
        <bgColor rgb="00FFF9D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C9DBDB"/>
      </left>
      <right style="thin">
        <color rgb="FFC9DBDB"/>
      </right>
      <top style="thin">
        <color rgb="FFC9DBDB"/>
      </top>
      <bottom style="thin">
        <color rgb="FFC9DBDB"/>
      </bottom>
    </border>
    <border>
      <left/>
      <right/>
      <top/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bottom"/>
    </xf>
    <xf numFmtId="0" fontId="6" fillId="4" borderId="1" applyAlignment="1" pivotButton="0" quotePrefix="0" xfId="0">
      <alignment horizontal="left" vertical="center"/>
    </xf>
    <xf numFmtId="0" fontId="7" fillId="0" borderId="4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8" fillId="5" borderId="4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3" fillId="0" borderId="4" applyAlignment="1" pivotButton="0" quotePrefix="0" xfId="0">
      <alignment vertical="center" wrapText="1"/>
    </xf>
    <xf numFmtId="0" fontId="10" fillId="5" borderId="4" applyAlignment="1" pivotButton="0" quotePrefix="0" xfId="0">
      <alignment horizontal="left" vertical="top" wrapText="1"/>
    </xf>
    <xf numFmtId="0" fontId="11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left" vertical="center"/>
    </xf>
    <xf numFmtId="0" fontId="9" fillId="0" borderId="0" applyAlignment="1" pivotButton="0" quotePrefix="0" xfId="0">
      <alignment vertical="center" wrapText="1"/>
    </xf>
    <xf numFmtId="0" fontId="9" fillId="6" borderId="4" applyAlignment="1" pivotButton="0" quotePrefix="0" xfId="0">
      <alignment horizontal="left" vertical="top" wrapText="1"/>
    </xf>
    <xf numFmtId="0" fontId="13" fillId="5" borderId="4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14" fillId="7" borderId="4" applyAlignment="1" pivotButton="0" quotePrefix="0" xfId="0">
      <alignment horizontal="left" vertical="center"/>
    </xf>
    <xf numFmtId="0" fontId="7" fillId="0" borderId="4" applyAlignment="1" pivotButton="0" quotePrefix="0" xfId="0">
      <alignment vertical="center"/>
    </xf>
    <xf numFmtId="0" fontId="9" fillId="0" borderId="4" applyAlignment="1" pivotButton="0" quotePrefix="0" xfId="0">
      <alignment vertical="center" wrapText="1"/>
    </xf>
    <xf numFmtId="0" fontId="7" fillId="7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5" fillId="7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6" fillId="8" borderId="4" applyAlignment="1" pivotButton="0" quotePrefix="0" xfId="0">
      <alignment horizontal="center" vertical="center"/>
    </xf>
    <xf numFmtId="0" fontId="4" fillId="8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center" vertical="center"/>
    </xf>
    <xf numFmtId="0" fontId="9" fillId="6" borderId="4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0" fontId="18" fillId="9" borderId="6" applyAlignment="1" pivotButton="0" quotePrefix="0" xfId="0">
      <alignment horizontal="left" vertical="center" wrapText="1"/>
    </xf>
    <xf numFmtId="0" fontId="18" fillId="9" borderId="6" applyAlignment="1" pivotButton="0" quotePrefix="0" xfId="0">
      <alignment horizontal="center" vertical="center"/>
    </xf>
    <xf numFmtId="0" fontId="1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ColWidth="14.43" defaultRowHeight="15" customHeight="1"/>
  <cols>
    <col width="34" customWidth="1" style="33" min="1" max="1"/>
    <col width="62" customWidth="1" style="33" min="2" max="2"/>
    <col width="30" customWidth="1" style="33" min="3" max="3"/>
    <col width="18" customWidth="1" style="33" min="4" max="5"/>
    <col width="8.710000000000001" customWidth="1" style="33" min="6" max="26"/>
  </cols>
  <sheetData>
    <row r="1" ht="30" customHeight="1" s="33">
      <c r="A1" s="34" t="inlineStr">
        <is>
          <t>Engenharia de Dados aplicada ao seu projeto — BD2 / FCTE-UnB</t>
        </is>
      </c>
    </row>
    <row r="2" ht="24" customHeight="1" s="33">
      <c r="A2" s="4" t="inlineStr">
        <is>
          <t>Planilha de acompanhamento. Preencha a partir do projeto que a sua equipe está desenvolvendo.</t>
        </is>
      </c>
    </row>
    <row r="4" ht="21.75" customHeight="1" s="33">
      <c r="A4" s="35" t="inlineStr">
        <is>
          <t>COMO USAR</t>
        </is>
      </c>
    </row>
    <row r="5" ht="30" customHeight="1" s="33">
      <c r="A5" s="9" t="inlineStr">
        <is>
          <t>Uma aba por bloco da aula</t>
        </is>
      </c>
      <c r="B5" s="11" t="inlineStr">
        <is>
          <t>As abas 1 a 5 seguem exatamente os cinco blocos da apresentação: fontes, formatos, modelos, cargas/engines e pipeline.</t>
        </is>
      </c>
    </row>
    <row r="6" ht="30" customHeight="1" s="33">
      <c r="A6" s="9" t="inlineStr">
        <is>
          <t>Preencha as células em amarelo claro</t>
        </is>
      </c>
      <c r="B6" s="11" t="inlineStr">
        <is>
          <t>Só elas esperam resposta. Cabeçalhos e exemplos não devem ser alterados.</t>
        </is>
      </c>
    </row>
    <row r="7" ht="30" customHeight="1" s="33">
      <c r="A7" s="9" t="inlineStr">
        <is>
          <t>A primeira linha de cada tabela é um EXEMPLO</t>
        </is>
      </c>
      <c r="B7" s="11" t="inlineStr">
        <is>
          <t>Está em cinza itálico, é fictícia e serve para mostrar o nível de detalhe esperado. Não apague — use como referência.</t>
        </is>
      </c>
    </row>
    <row r="8" ht="30" customHeight="1" s="33">
      <c r="A8" s="9" t="inlineStr">
        <is>
          <t>Acrescente linhas quando precisar</t>
        </is>
      </c>
      <c r="B8" s="11" t="inlineStr">
        <is>
          <t>As tabelas vêm com espaço de sobra; se faltar, insira linhas antes da última.</t>
        </is>
      </c>
    </row>
    <row r="9" ht="30" customHeight="1" s="33">
      <c r="A9" s="9" t="inlineStr">
        <is>
          <t>Justificativa vale mais que ferramenta</t>
        </is>
      </c>
      <c r="B9" s="11" t="inlineStr">
        <is>
          <t>Em toda coluna "por quê", a resposta esperada não é o nome de um produto: é o critério que levou à escolha.</t>
        </is>
      </c>
    </row>
    <row r="10" ht="30" customHeight="1" s="33">
      <c r="A10" s="9" t="inlineStr">
        <is>
          <t>Não invente número</t>
        </is>
      </c>
      <c r="B10" s="11" t="inlineStr">
        <is>
          <t>Estimativa é aceita, desde que a coluna diga que é estimativa e como foi obtida.</t>
        </is>
      </c>
    </row>
    <row r="12" ht="21.75" customHeight="1" s="33">
      <c r="A12" s="35" t="inlineStr">
        <is>
          <t>LEGENDA DE CORES</t>
        </is>
      </c>
    </row>
    <row r="13" ht="19.5" customHeight="1" s="33">
      <c r="A13" s="15" t="inlineStr">
        <is>
          <t>Preencha aqui</t>
        </is>
      </c>
      <c r="B13" s="16" t="inlineStr">
        <is>
          <t>Célula de preenchimento — é aqui que a equipe escreve.</t>
        </is>
      </c>
    </row>
    <row r="14" ht="19.5" customHeight="1" s="33">
      <c r="A14" s="18" t="inlineStr">
        <is>
          <t>Exemplo fictício</t>
        </is>
      </c>
      <c r="B14" s="16" t="inlineStr">
        <is>
          <t>Linha de exemplo — não apague, use como referência.</t>
        </is>
      </c>
    </row>
    <row r="15" ht="19.5" customHeight="1" s="33">
      <c r="A15" s="19" t="inlineStr">
        <is>
          <t>Cabeçalho</t>
        </is>
      </c>
      <c r="B15" s="16" t="inlineStr">
        <is>
          <t>Nome da coluna — não altere.</t>
        </is>
      </c>
    </row>
    <row r="16" ht="19.5" customHeight="1" s="33">
      <c r="A16" s="20" t="inlineStr">
        <is>
          <t>Calculado</t>
        </is>
      </c>
      <c r="B16" s="16" t="inlineStr">
        <is>
          <t>Campo calculado automaticamente — não altere.</t>
        </is>
      </c>
    </row>
    <row r="18" ht="21.75" customHeight="1" s="33">
      <c r="A18" s="35" t="inlineStr">
        <is>
          <t>PROGRESSO DO PREENCHIMENTO (calculado automaticamente)</t>
        </is>
      </c>
    </row>
    <row r="19" ht="30" customHeight="1" s="33">
      <c r="A19" s="5" t="inlineStr">
        <is>
          <t>Aba</t>
        </is>
      </c>
      <c r="B19" s="5" t="inlineStr">
        <is>
          <t>O que a aba responde</t>
        </is>
      </c>
      <c r="C19" s="5" t="inlineStr">
        <is>
          <t>Linhas preenchidas</t>
        </is>
      </c>
      <c r="D19" s="5" t="inlineStr">
        <is>
          <t>Mínimo esperado</t>
        </is>
      </c>
      <c r="E19" s="5" t="inlineStr">
        <is>
          <t>Situação</t>
        </is>
      </c>
    </row>
    <row r="20" ht="24" customHeight="1" s="33">
      <c r="A20" s="21" t="inlineStr">
        <is>
          <t>1 Fontes</t>
        </is>
      </c>
      <c r="B20" s="22" t="inlineStr">
        <is>
          <t>De onde vem o dado do projeto e o que a origem impõe</t>
        </is>
      </c>
      <c r="C20" s="23">
        <f>COUNTA('1 Fontes'!A7:A26)</f>
        <v/>
      </c>
      <c r="D20" s="24" t="n">
        <v>4</v>
      </c>
      <c r="E20" s="25">
        <f>IF(C20&gt;=D20,"OK","Falta preencher")</f>
        <v/>
      </c>
    </row>
    <row r="21" ht="24" customHeight="1" s="33">
      <c r="A21" s="21" t="inlineStr">
        <is>
          <t>2 Formatos</t>
        </is>
      </c>
      <c r="B21" s="22" t="inlineStr">
        <is>
          <t>Em que formato o dado é gravado e por quê</t>
        </is>
      </c>
      <c r="C21" s="23">
        <f>COUNTA('2 Formatos'!A7:A21)</f>
        <v/>
      </c>
      <c r="D21" s="24" t="n">
        <v>3</v>
      </c>
      <c r="E21" s="25">
        <f>IF(C21&gt;=D21,"OK","Falta preencher")</f>
        <v/>
      </c>
    </row>
    <row r="22" ht="24" customHeight="1" s="33">
      <c r="A22" s="21" t="inlineStr">
        <is>
          <t>3 Modelos</t>
        </is>
      </c>
      <c r="B22" s="22" t="inlineStr">
        <is>
          <t>Como o dado é representado (entidades e modelo escolhido)</t>
        </is>
      </c>
      <c r="C22" s="23">
        <f>COUNTA('3 Modelos'!A7:A21)</f>
        <v/>
      </c>
      <c r="D22" s="24" t="n">
        <v>4</v>
      </c>
      <c r="E22" s="25">
        <f>IF(C22&gt;=D22,"OK","Falta preencher")</f>
        <v/>
      </c>
    </row>
    <row r="23" ht="24" customHeight="1" s="33">
      <c r="A23" s="21" t="inlineStr">
        <is>
          <t>4 Cargas e Engines</t>
        </is>
      </c>
      <c r="B23" s="22" t="inlineStr">
        <is>
          <t>Que carga cada armazenamento aguenta e com que garantia</t>
        </is>
      </c>
      <c r="C23" s="23">
        <f>COUNTA('4 Cargas e Engines'!A7:A16)</f>
        <v/>
      </c>
      <c r="D23" s="24" t="n">
        <v>2</v>
      </c>
      <c r="E23" s="25">
        <f>IF(C23&gt;=D23,"OK","Falta preencher")</f>
        <v/>
      </c>
    </row>
    <row r="24" ht="24" customHeight="1" s="33">
      <c r="A24" s="21" t="inlineStr">
        <is>
          <t>5 Pipeline</t>
        </is>
      </c>
      <c r="B24" s="22" t="inlineStr">
        <is>
          <t>Como o dado vai da origem ao consumo</t>
        </is>
      </c>
      <c r="C24" s="23">
        <f>COUNTA('5 Pipeline'!A7:A21)</f>
        <v/>
      </c>
      <c r="D24" s="24" t="n">
        <v>3</v>
      </c>
      <c r="E24" s="25">
        <f>IF(C24&gt;=D24,"OK","Falta preencher")</f>
        <v/>
      </c>
    </row>
    <row r="25" ht="24" customHeight="1" s="33">
      <c r="A25" s="21" t="inlineStr">
        <is>
          <t>Riscos</t>
        </is>
      </c>
      <c r="B25" s="22" t="inlineStr">
        <is>
          <t>O que derruba o pipeline e como mitigar</t>
        </is>
      </c>
      <c r="C25" s="23">
        <f>COUNTA(Riscos!A7:A21)</f>
        <v/>
      </c>
      <c r="D25" s="24" t="n">
        <v>3</v>
      </c>
      <c r="E25" s="25">
        <f>IF(C25&gt;=D25,"OK","Falta preencher")</f>
        <v/>
      </c>
    </row>
    <row r="26" ht="24" customHeight="1" s="33">
      <c r="A26" s="21" t="inlineStr">
        <is>
          <t>ADR</t>
        </is>
      </c>
      <c r="B26" s="22" t="inlineStr">
        <is>
          <t>A decisão registrada com contexto e alternativas</t>
        </is>
      </c>
      <c r="C26" s="23">
        <f>COUNTA(ADR!C6:C30)</f>
        <v/>
      </c>
      <c r="D26" s="24" t="n">
        <v>10</v>
      </c>
      <c r="E26" s="25">
        <f>IF(C26&gt;=D26,"OK","Falta preencher")</f>
        <v/>
      </c>
    </row>
    <row r="27" ht="15.75" customHeight="1" s="33">
      <c r="B27" s="26" t="inlineStr">
        <is>
          <t>Abas concluídas</t>
        </is>
      </c>
      <c r="C27" s="27">
        <f>COUNTIF(E20:E26,"OK")&amp;" de 7"</f>
        <v/>
      </c>
    </row>
    <row r="28" ht="15.75" customHeight="1" s="33"/>
    <row r="29" ht="19.5" customHeight="1" s="33">
      <c r="A29" s="4" t="inlineStr">
        <is>
          <t>Fonte dos conceitos: apresentação "Engenharia de Dados 101" (BD2), adaptada de Chip Huyen, CS 329S — Stanford. Bibliografia: Reis &amp; Housley, Fundamentos de Engenharia de Dados (Novatec, 2023); Kleppmann, Designing Data-Intensive Applications.</t>
        </is>
      </c>
    </row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6">
    <mergeCell ref="A12:E12"/>
    <mergeCell ref="A4:E4"/>
    <mergeCell ref="A29:E29"/>
    <mergeCell ref="A2:E2"/>
    <mergeCell ref="A1:E1"/>
    <mergeCell ref="A18:E18"/>
  </mergeCell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ColWidth="14.43" defaultRowHeight="15" customHeight="1"/>
  <cols>
    <col width="34" customWidth="1" style="33" min="1" max="1"/>
    <col width="62" customWidth="1" style="33" min="2" max="2"/>
    <col width="40" customWidth="1" style="33" min="3" max="3"/>
    <col width="8.710000000000001" customWidth="1" style="33" min="4" max="26"/>
  </cols>
  <sheetData>
    <row r="1" ht="30" customHeight="1" s="33">
      <c r="A1" s="34" t="inlineStr">
        <is>
          <t>Identificação do projeto e da equipe</t>
        </is>
      </c>
    </row>
    <row r="2" ht="24" customHeight="1" s="33">
      <c r="A2" s="4" t="inlineStr">
        <is>
          <t>Preencha antes de começar as demais abas.</t>
        </is>
      </c>
    </row>
    <row r="4" ht="25.5" customHeight="1" s="33">
      <c r="A4" s="5" t="inlineStr">
        <is>
          <t>Campo</t>
        </is>
      </c>
      <c r="B4" s="5" t="inlineStr">
        <is>
          <t>Resposta da equipe</t>
        </is>
      </c>
      <c r="C4" s="5" t="inlineStr">
        <is>
          <t>Observação / o que se espera</t>
        </is>
      </c>
    </row>
    <row r="5" ht="30" customHeight="1" s="33">
      <c r="A5" s="8" t="inlineStr">
        <is>
          <t>Nome do projeto</t>
        </is>
      </c>
      <c r="B5" s="36" t="inlineStr">
        <is>
          <t>Plataforma CEAP — Gastos Parlamentares (Câmara dos Deputados)</t>
        </is>
      </c>
      <c r="C5" s="12" t="inlineStr">
        <is>
          <t>Como o projeto é chamado.</t>
        </is>
      </c>
    </row>
    <row r="6" ht="30" customHeight="1" s="33">
      <c r="A6" s="8" t="inlineStr">
        <is>
          <t>Equipe (nomes completos)</t>
        </is>
      </c>
      <c r="B6" s="36" t="inlineStr">
        <is>
          <t>Filipe Carvalho, Taynara Vitorino, Gabriel Esteves, Maria Clara Alves, Kalo Macedo, Amanda Gonçalves</t>
        </is>
      </c>
      <c r="C6" s="12" t="inlineStr">
        <is>
          <t>Todos os integrantes.</t>
        </is>
      </c>
    </row>
    <row r="7" ht="30" customHeight="1" s="33">
      <c r="A7" s="8" t="inlineStr">
        <is>
          <t>Disciplina / turma / semestre</t>
        </is>
      </c>
      <c r="B7" s="36" t="inlineStr">
        <is>
          <t>Sistemas de Banco de Dados 2 — Turma 01 — 2026/2 (FCTE / UnB)</t>
        </is>
      </c>
      <c r="C7" s="12" t="n"/>
    </row>
    <row r="8" ht="30" customHeight="1" s="33">
      <c r="A8" s="8" t="inlineStr">
        <is>
          <t>Em uma frase, o que o sistema faz</t>
        </is>
      </c>
      <c r="B8" s="36" t="inlineStr">
        <is>
          <t>Permite consultar, filtrar e analisar em segundos a evolução e o desvio de gastos da Cota Parlamentar (CEAP) por deputado, partido e fornecedor na 57ª Legislatura.</t>
        </is>
      </c>
      <c r="C8" s="12" t="inlineStr">
        <is>
          <t>Sem jargão. Uma frase.</t>
        </is>
      </c>
    </row>
    <row r="9" ht="30" customHeight="1" s="33">
      <c r="A9" s="8" t="inlineStr">
        <is>
          <t>Problema que ele resolve</t>
        </is>
      </c>
      <c r="B9" s="36" t="inlineStr">
        <is>
          <t>Os dados brutos da Cota Parlamentar são publicados em arquivos CSV gigantescos (centenas de milhares de linhas por ano) e inconsistentes, inviabilizando consultas rápidas e fiscalização cidadã direta sem conhecimento de programação.</t>
        </is>
      </c>
      <c r="C9" s="12" t="n"/>
    </row>
    <row r="10" ht="30" customHeight="1" s="33">
      <c r="A10" s="8" t="inlineStr">
        <is>
          <t>Quem usa o sistema</t>
        </is>
      </c>
      <c r="B10" s="36" t="inlineStr">
        <is>
          <t>Cidadãos, eleitores, jornalistas investigativos, pesquisadores e órgãos de controle social.</t>
        </is>
      </c>
      <c r="C10" s="12" t="inlineStr">
        <is>
          <t>Os atores principais.</t>
        </is>
      </c>
    </row>
    <row r="11" ht="30" customHeight="1" s="33">
      <c r="A11" s="8" t="inlineStr">
        <is>
          <t>Repositório / link do projeto</t>
        </is>
      </c>
      <c r="B11" s="36" t="inlineStr">
        <is>
          <t>https://github.com/taybalau/SBD2</t>
        </is>
      </c>
      <c r="C11" s="12" t="n"/>
    </row>
    <row r="12" ht="30" customHeight="1" s="33">
      <c r="A12" s="8" t="inlineStr">
        <is>
          <t>Data de preenchimento</t>
        </is>
      </c>
      <c r="B12" s="36" t="inlineStr">
        <is>
          <t>27/09/2026</t>
        </is>
      </c>
      <c r="C12" s="12" t="n"/>
    </row>
    <row r="13" ht="30" customHeight="1" s="33">
      <c r="A13" s="8" t="inlineStr">
        <is>
          <t>Versão deste documento</t>
        </is>
      </c>
      <c r="B13" s="36" t="inlineStr">
        <is>
          <t>1.0 (Entrega E1)</t>
        </is>
      </c>
      <c r="C13" s="12" t="inlineStr">
        <is>
          <t>Atualize a cada revisão.</t>
        </is>
      </c>
    </row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A1:C1"/>
    <mergeCell ref="A2:C2"/>
  </mergeCell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5" customWidth="1" style="33" min="1" max="1"/>
    <col width="22" customWidth="1" style="33" min="2" max="2"/>
    <col width="18" customWidth="1" style="33" min="3" max="3"/>
    <col width="20" customWidth="1" style="33" min="4" max="4"/>
    <col width="26" customWidth="1" style="33" min="5" max="5"/>
    <col width="20" customWidth="1" style="33" min="6" max="6"/>
    <col width="16" customWidth="1" style="33" min="7" max="7"/>
    <col width="18" customWidth="1" style="33" min="8" max="8"/>
    <col width="12" customWidth="1" style="33" min="9" max="10"/>
    <col width="16" customWidth="1" style="33" min="11" max="11"/>
    <col width="14" customWidth="1" style="33" min="12" max="12"/>
    <col width="22" customWidth="1" style="33" min="13" max="13"/>
    <col width="16" customWidth="1" style="33" min="14" max="14"/>
    <col width="30" customWidth="1" style="33" min="15" max="15"/>
    <col width="8.710000000000001" customWidth="1" style="33" min="16" max="26"/>
  </cols>
  <sheetData>
    <row r="1" ht="30" customHeight="1" s="33">
      <c r="A1" s="34" t="inlineStr">
        <is>
          <t>Bloco 1 — Inventário de fontes de dados do projeto</t>
        </is>
      </c>
    </row>
    <row r="2" ht="24" customHeight="1" s="33">
      <c r="A2" s="4" t="inlineStr">
        <is>
          <t>Uma linha por fonte. Se a equipe não souber responder vazão, pureza e previsibilidade, ainda não dá para desenhar o pipeline.</t>
        </is>
      </c>
    </row>
    <row r="4">
      <c r="A4" s="6" t="inlineStr">
        <is>
          <t>Linha 6 = exemplo fictício (não apague). Preencha a partir da linha 7.</t>
        </is>
      </c>
    </row>
    <row r="5" ht="42" customHeight="1" s="33">
      <c r="A5" s="5" t="inlineStr">
        <is>
          <t>Nº</t>
        </is>
      </c>
      <c r="B5" s="5" t="inlineStr">
        <is>
          <t>Nome da fonte</t>
        </is>
      </c>
      <c r="C5" s="5" t="inlineStr">
        <is>
          <t>Tipo
(usuário | sistema | interna | terceiro)</t>
        </is>
      </c>
      <c r="D5" s="5" t="inlineStr">
        <is>
          <t>Quem ou o que gera</t>
        </is>
      </c>
      <c r="E5" s="5" t="inlineStr">
        <is>
          <t>O que essa fonte contém</t>
        </is>
      </c>
      <c r="F5" s="5" t="inlineStr">
        <is>
          <t>Formato em que chega
(JSON, CSV, formulário, API…)</t>
        </is>
      </c>
      <c r="G5" s="5" t="inlineStr">
        <is>
          <t>Volume estimado
(por dia ou por mês)</t>
        </is>
      </c>
      <c r="H5" s="5" t="inlineStr">
        <is>
          <t>Frequência de chegada
(tempo real | horária | diária | eventual)</t>
        </is>
      </c>
      <c r="I5" s="5" t="inlineStr">
        <is>
          <t>Vazão
(alta | média | baixa)</t>
        </is>
      </c>
      <c r="J5" s="5" t="inlineStr">
        <is>
          <t>Pureza
(alta | média | baixa)</t>
        </is>
      </c>
      <c r="K5" s="5" t="inlineStr">
        <is>
          <t>Previsibilidade do formato
(alta | média | baixa)</t>
        </is>
      </c>
      <c r="L5" s="5" t="inlineStr">
        <is>
          <t>Contém dado pessoal?
(sim | não)</t>
        </is>
      </c>
      <c r="M5" s="5" t="inlineStr">
        <is>
          <t>Base legal LGPD
(se contém dado pessoal)</t>
        </is>
      </c>
      <c r="N5" s="5" t="inlineStr">
        <is>
          <t>Retenção
(por quanto tempo guardar)</t>
        </is>
      </c>
      <c r="O5" s="5" t="inlineStr">
        <is>
          <t>O que quebra se essa fonte falhar</t>
        </is>
      </c>
    </row>
    <row r="6" ht="45.75" customHeight="1" s="33">
      <c r="A6" s="13" t="inlineStr">
        <is>
          <t>1</t>
        </is>
      </c>
      <c r="B6" s="13" t="inlineStr">
        <is>
          <t>Registro de empréstimo</t>
        </is>
      </c>
      <c r="C6" s="13" t="inlineStr">
        <is>
          <t>usuário</t>
        </is>
      </c>
      <c r="D6" s="13" t="inlineStr">
        <is>
          <t>Estudante no aplicativo</t>
        </is>
      </c>
      <c r="E6" s="13" t="inlineStr">
        <is>
          <t>Matrícula, bicicleta, horário de retirada e de devolução</t>
        </is>
      </c>
      <c r="F6" s="13" t="inlineStr">
        <is>
          <t>Formulário do app (JSON)</t>
        </is>
      </c>
      <c r="G6" s="13" t="inlineStr">
        <is>
          <t>~400 registros/dia</t>
        </is>
      </c>
      <c r="H6" s="13" t="inlineStr">
        <is>
          <t>tempo real</t>
        </is>
      </c>
      <c r="I6" s="13" t="inlineStr">
        <is>
          <t>média</t>
        </is>
      </c>
      <c r="J6" s="13" t="inlineStr">
        <is>
          <t>média</t>
        </is>
      </c>
      <c r="K6" s="13" t="inlineStr">
        <is>
          <t>alta</t>
        </is>
      </c>
      <c r="L6" s="13" t="inlineStr">
        <is>
          <t>sim</t>
        </is>
      </c>
      <c r="M6" s="13" t="inlineStr">
        <is>
          <t>Execução de contrato (art. 7º, V)</t>
        </is>
      </c>
      <c r="N6" s="13" t="inlineStr">
        <is>
          <t>5 anos (regra da prefeitura do campus)</t>
        </is>
      </c>
      <c r="O6" s="13" t="inlineStr">
        <is>
          <t>Ninguém consegue retirar bicicleta; o sistema perde a função principal</t>
        </is>
      </c>
    </row>
    <row r="7" ht="33.75" customHeight="1" s="33">
      <c r="A7" s="37" t="n">
        <v>1</v>
      </c>
      <c r="B7" s="36" t="inlineStr">
        <is>
          <t>CEAP — Cota Parlamentar (Arquivo Anual Consolidado)</t>
        </is>
      </c>
      <c r="C7" s="37" t="inlineStr">
        <is>
          <t>terceiro</t>
        </is>
      </c>
      <c r="D7" s="36" t="inlineStr">
        <is>
          <t>Câmara dos Deputados (Portal de Dados Abertos)</t>
        </is>
      </c>
      <c r="E7" s="36" t="inlineStr">
        <is>
          <t>Despesas detalhadas com a cota: deputado, CNPJ/fornecedor, subcota, nota fiscal, datas, valores (documento, glosa, líquido), número do lote e link do documento</t>
        </is>
      </c>
      <c r="F7" s="36" t="inlineStr">
        <is>
          <t>CSV (compactado em ZIP, delimitado por ponto e vírgula)</t>
        </is>
      </c>
      <c r="G7" s="36" t="inlineStr">
        <is>
          <t>~18.000 a 20.000 registros/mês (~230.000 registros/ano)</t>
        </is>
      </c>
      <c r="H7" s="37" t="inlineStr">
        <is>
          <t>eventual</t>
        </is>
      </c>
      <c r="I7" s="37" t="inlineStr">
        <is>
          <t>média</t>
        </is>
      </c>
      <c r="J7" s="37" t="inlineStr">
        <is>
          <t>média</t>
        </is>
      </c>
      <c r="K7" s="37" t="inlineStr">
        <is>
          <t>alta</t>
        </is>
      </c>
      <c r="L7" s="37" t="inlineStr">
        <is>
          <t>sim</t>
        </is>
      </c>
      <c r="M7" s="36" t="inlineStr">
        <is>
          <t>Cumprimento de obrigação legal / Princípio da Publicidade (Art. 7º, II c/c Art. 23 da LGPD)</t>
        </is>
      </c>
      <c r="N7" s="36" t="inlineStr">
        <is>
          <t>Permanente (dado público de transparência ativa)</t>
        </is>
      </c>
      <c r="O7" s="17" t="n"/>
    </row>
    <row r="8" ht="33.75" customHeight="1" s="33">
      <c r="A8" s="37" t="n">
        <v>2</v>
      </c>
      <c r="B8" s="36" t="inlineStr">
        <is>
          <t>API de Deputados e Gabinetes (Câmara)</t>
        </is>
      </c>
      <c r="C8" s="37" t="inlineStr">
        <is>
          <t>terceiro</t>
        </is>
      </c>
      <c r="D8" s="36" t="inlineStr">
        <is>
          <t>API REST da Câmara dos Deputados (dadosabertos.camara.leg.br)</t>
        </is>
      </c>
      <c r="E8" s="36" t="inlineStr">
        <is>
          <t>Dados biográficos, legislaturas ativas, filiação partidária oficial e situação do mandato</t>
        </is>
      </c>
      <c r="F8" s="36" t="inlineStr">
        <is>
          <t>JSON</t>
        </is>
      </c>
      <c r="G8" s="36" t="inlineStr">
        <is>
          <t>~600 registros totais por legislatura</t>
        </is>
      </c>
      <c r="H8" s="37" t="inlineStr">
        <is>
          <t>diária</t>
        </is>
      </c>
      <c r="I8" s="37" t="inlineStr">
        <is>
          <t>baixa</t>
        </is>
      </c>
      <c r="J8" s="37" t="inlineStr">
        <is>
          <t>alta</t>
        </is>
      </c>
      <c r="K8" s="37" t="inlineStr">
        <is>
          <t>alta</t>
        </is>
      </c>
      <c r="L8" s="37" t="inlineStr">
        <is>
          <t>sim</t>
        </is>
      </c>
      <c r="M8" s="36" t="inlineStr">
        <is>
          <t>Cumprimento de obrigação legal (Art. 7º, II c/c Art. 23 da LGPD)</t>
        </is>
      </c>
      <c r="N8" s="36" t="inlineStr">
        <is>
          <t>Permanente</t>
        </is>
      </c>
      <c r="O8" s="17" t="n"/>
    </row>
    <row r="9" ht="33.75" customHeight="1" s="33">
      <c r="A9" s="37" t="n">
        <v>3</v>
      </c>
      <c r="B9" s="36" t="inlineStr">
        <is>
          <t>Cadastro Nacional da Pessoa Jurídica (CNPJ - Receita Federal)</t>
        </is>
      </c>
      <c r="C9" s="37" t="inlineStr">
        <is>
          <t>terceiro</t>
        </is>
      </c>
      <c r="D9" s="36" t="inlineStr">
        <is>
          <t>Receita Federal do Brasil (Dados Públicos CNPJ)</t>
        </is>
      </c>
      <c r="E9" s="36" t="inlineStr">
        <is>
          <t>Razão social, nome fantasia, CNAE (ramo de atividade), situação cadastral e sócios dos estabelecimentos recebedores</t>
        </is>
      </c>
      <c r="F9" s="36" t="inlineStr">
        <is>
          <t>CSV</t>
        </is>
      </c>
      <c r="G9" s="36" t="inlineStr">
        <is>
          <t>Lookup sob demanda para os ~55.000 fornecedores identificados</t>
        </is>
      </c>
      <c r="H9" s="37" t="inlineStr">
        <is>
          <t>eventual</t>
        </is>
      </c>
      <c r="I9" s="37" t="inlineStr">
        <is>
          <t>baixa</t>
        </is>
      </c>
      <c r="J9" s="37" t="inlineStr">
        <is>
          <t>alta</t>
        </is>
      </c>
      <c r="K9" s="37" t="inlineStr">
        <is>
          <t>alta</t>
        </is>
      </c>
      <c r="L9" s="37" t="inlineStr">
        <is>
          <t>não</t>
        </is>
      </c>
      <c r="M9" s="36" t="inlineStr">
        <is>
          <t>Legítimo interesse e transparência pública (Art. 7º, IX da LGPD)</t>
        </is>
      </c>
      <c r="N9" s="36" t="inlineStr">
        <is>
          <t>5 anos</t>
        </is>
      </c>
      <c r="O9" s="17" t="n"/>
    </row>
    <row r="10" ht="33.75" customHeight="1" s="33">
      <c r="A10" s="37" t="n">
        <v>4</v>
      </c>
      <c r="B10" s="36" t="inlineStr">
        <is>
          <t>Portal da Transparência do Governo Federal (CEIS / CNEP)</t>
        </is>
      </c>
      <c r="C10" s="37" t="inlineStr">
        <is>
          <t>terceiro</t>
        </is>
      </c>
      <c r="D10" s="36" t="inlineStr">
        <is>
          <t>Controladoria-Geral da União (CGU)</t>
        </is>
      </c>
      <c r="E10" s="36" t="inlineStr">
        <is>
          <t>Cadastro de Empresas Inidôneas e Suspensas e Cadastro Nacional de Empresas Punidas</t>
        </is>
      </c>
      <c r="F10" s="36" t="inlineStr">
        <is>
          <t>API / CSV</t>
        </is>
      </c>
      <c r="G10" s="36" t="inlineStr">
        <is>
          <t>~100 consultas/semana de auditoria cruzada</t>
        </is>
      </c>
      <c r="H10" s="37" t="inlineStr">
        <is>
          <t>diária</t>
        </is>
      </c>
      <c r="I10" s="37" t="inlineStr">
        <is>
          <t>baixa</t>
        </is>
      </c>
      <c r="J10" s="37" t="inlineStr">
        <is>
          <t>alta</t>
        </is>
      </c>
      <c r="K10" s="37" t="inlineStr">
        <is>
          <t>alta</t>
        </is>
      </c>
      <c r="L10" s="37" t="inlineStr">
        <is>
          <t>não</t>
        </is>
      </c>
      <c r="M10" s="36" t="inlineStr">
        <is>
          <t>Obrigação legal / Controle e fiscalização pública</t>
        </is>
      </c>
      <c r="N10" s="36" t="inlineStr">
        <is>
          <t>5 anos</t>
        </is>
      </c>
      <c r="O10" s="17" t="n"/>
    </row>
    <row r="11" ht="33.75" customHeight="1" s="33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33.75" customHeight="1" s="33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33.75" customHeight="1" s="3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33.75" customHeight="1" s="33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33.75" customHeight="1" s="33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33.75" customHeight="1" s="33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33.75" customHeight="1" s="33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33.75" customHeight="1" s="33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33.75" customHeight="1" s="33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33.75" customHeight="1" s="33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33.75" customHeight="1" s="33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33.75" customHeight="1" s="33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33.75" customHeight="1" s="3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33.75" customHeight="1" s="33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33.75" customHeight="1" s="33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33.75" customHeight="1" s="33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.75" customHeight="1" s="33"/>
    <row r="28" ht="19.5" customHeight="1" s="33">
      <c r="A28" s="4" t="inlineStr">
        <is>
          <t>Dica do bloco 1: dado emitido pelo sistema mas que descreve a pessoa (cliques, tempo de uso, trajeto) é dado comportamental — conta como dado de usuário para efeito de LGPD.</t>
        </is>
      </c>
    </row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4">
    <mergeCell ref="A1:O1"/>
    <mergeCell ref="A28:O28"/>
    <mergeCell ref="A4:O4"/>
    <mergeCell ref="A2:O2"/>
  </mergeCell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5" customWidth="1" style="33" min="1" max="1"/>
    <col width="24" customWidth="1" style="33" min="2" max="2"/>
    <col width="14" customWidth="1" style="33" min="3" max="3"/>
    <col width="16" customWidth="1" style="33" min="4" max="4"/>
    <col width="14" customWidth="1" style="33" min="5" max="5"/>
    <col width="18" customWidth="1" style="33" min="6" max="6"/>
    <col width="16" customWidth="1" style="33" min="7" max="7"/>
    <col width="24" customWidth="1" style="33" min="8" max="8"/>
    <col width="16" customWidth="1" style="33" min="9" max="10"/>
    <col width="34" customWidth="1" style="33" min="11" max="11"/>
    <col width="26" customWidth="1" style="33" min="12" max="12"/>
    <col width="8.710000000000001" customWidth="1" style="33" min="13" max="26"/>
  </cols>
  <sheetData>
    <row r="1" ht="30" customHeight="1" s="33">
      <c r="A1" s="34" t="inlineStr">
        <is>
          <t>Bloco 2 — Formatos de armazenamento e serialização</t>
        </is>
      </c>
    </row>
    <row r="2" ht="24" customHeight="1" s="33">
      <c r="A2" s="4" t="inlineStr">
        <is>
          <t>Uma linha por conjunto de dados que o projeto grava. A coluna de justificativa é a que vale nota.</t>
        </is>
      </c>
    </row>
    <row r="4">
      <c r="A4" s="6" t="inlineStr">
        <is>
          <t>Linha 6 = exemplo fictício (não apague). Preencha a partir da linha 7.</t>
        </is>
      </c>
    </row>
    <row r="5" ht="42" customHeight="1" s="33">
      <c r="A5" s="5" t="inlineStr">
        <is>
          <t>Nº</t>
        </is>
      </c>
      <c r="B5" s="5" t="inlineStr">
        <is>
          <t>Conjunto de dados</t>
        </is>
      </c>
      <c r="C5" s="5" t="inlineStr">
        <is>
          <t>Fonte de origem
(nº da aba 1)</t>
        </is>
      </c>
      <c r="D5" s="5" t="inlineStr">
        <is>
          <t>Formato atual</t>
        </is>
      </c>
      <c r="E5" s="5" t="inlineStr">
        <is>
          <t>Texto ou binário</t>
        </is>
      </c>
      <c r="F5" s="5" t="inlineStr">
        <is>
          <t>Orientação
(linha | coluna | não se aplica)</t>
        </is>
      </c>
      <c r="G5" s="5" t="inlineStr">
        <is>
          <t>Tamanho estimado
(em 1 ano)</t>
        </is>
      </c>
      <c r="H5" s="5" t="inlineStr">
        <is>
          <t>Como é lido
(registro inteiro | poucas colunas | busca por chave)</t>
        </is>
      </c>
      <c r="I5" s="5" t="inlineStr">
        <is>
          <t>Frequência de leitura</t>
        </is>
      </c>
      <c r="J5" s="5" t="inlineStr">
        <is>
          <t>Formato proposto</t>
        </is>
      </c>
      <c r="K5" s="5" t="inlineStr">
        <is>
          <t>Justificativa da escolha</t>
        </is>
      </c>
      <c r="L5" s="5" t="inlineStr">
        <is>
          <t>Ganho esperado (se houver troca)</t>
        </is>
      </c>
    </row>
    <row r="6" ht="45.75" customHeight="1" s="33">
      <c r="A6" s="13" t="inlineStr">
        <is>
          <t>1</t>
        </is>
      </c>
      <c r="B6" s="13" t="inlineStr">
        <is>
          <t>Histórico de empréstimos</t>
        </is>
      </c>
      <c r="C6" s="13" t="inlineStr">
        <is>
          <t>1</t>
        </is>
      </c>
      <c r="D6" s="13" t="inlineStr">
        <is>
          <t>CSV exportado do banco</t>
        </is>
      </c>
      <c r="E6" s="13" t="inlineStr">
        <is>
          <t>texto</t>
        </is>
      </c>
      <c r="F6" s="13" t="inlineStr">
        <is>
          <t>linha</t>
        </is>
      </c>
      <c r="G6" s="13" t="inlineStr">
        <is>
          <t>~1,2 GB</t>
        </is>
      </c>
      <c r="H6" s="13" t="inlineStr">
        <is>
          <t>poucas colunas (data e duração) sobre milhões de linhas</t>
        </is>
      </c>
      <c r="I6" s="13" t="inlineStr">
        <is>
          <t>semanal, para relatórios</t>
        </is>
      </c>
      <c r="J6" s="13" t="inlineStr">
        <is>
          <t>Parquet</t>
        </is>
      </c>
      <c r="K6" s="13" t="inlineStr">
        <is>
          <t>A análise só usa 3 de 14 colunas; formato colunar evita ler o resto e comprime valores repetidos</t>
        </is>
      </c>
      <c r="L6" s="13" t="inlineStr">
        <is>
          <t>Leitura estimada 6x mais rápida e ~70% menos disco</t>
        </is>
      </c>
    </row>
    <row r="7" ht="33.75" customHeight="1" s="33">
      <c r="A7" s="37" t="n">
        <v>1</v>
      </c>
      <c r="B7" s="36" t="inlineStr">
        <is>
          <t>Histórico Bruto da CEAP (Arquivos Anuais)</t>
        </is>
      </c>
      <c r="C7" s="37" t="inlineStr">
        <is>
          <t>1</t>
        </is>
      </c>
      <c r="D7" s="36" t="inlineStr">
        <is>
          <t>CSV comprimido em ZIP</t>
        </is>
      </c>
      <c r="E7" s="37" t="inlineStr">
        <is>
          <t>texto</t>
        </is>
      </c>
      <c r="F7" s="37" t="inlineStr">
        <is>
          <t>linha</t>
        </is>
      </c>
      <c r="G7" s="36" t="inlineStr">
        <is>
          <t>~265 MB (~75 MB/ano comprimido)</t>
        </is>
      </c>
      <c r="H7" s="36" t="inlineStr">
        <is>
          <t>poucas colunas sobre muitos registros (agrupamentos de valores)</t>
        </is>
      </c>
      <c r="I7" s="36" t="inlineStr">
        <is>
          <t>mensal (na ingestão)</t>
        </is>
      </c>
      <c r="J7" s="36" t="inlineStr">
        <is>
          <t>Parquet (Data Lake E2) / PostgreSQL (OLTP E1)</t>
        </is>
      </c>
      <c r="K7" s="36" t="inlineStr">
        <is>
          <t>CSV é ótimo para exportação pública, mas ineficiente para agregação. O formato colunar Parquet compacta repetições de nomes de deputados e partidos, reduzindo leitura em disco.</t>
        </is>
      </c>
      <c r="L7" s="36" t="inlineStr">
        <is>
          <t>Redução de ~75% no espaço em disco e aceleração de 5x a 10x em consultas analíticas.</t>
        </is>
      </c>
    </row>
    <row r="8" ht="33.75" customHeight="1" s="33">
      <c r="A8" s="37" t="n">
        <v>2</v>
      </c>
      <c r="B8" s="36" t="inlineStr">
        <is>
          <t>Base Transacional de Despesas (OLTP)</t>
        </is>
      </c>
      <c r="C8" s="37" t="inlineStr">
        <is>
          <t>1</t>
        </is>
      </c>
      <c r="D8" s="36" t="inlineStr">
        <is>
          <t>Tabelas relacionais PostgreSQL</t>
        </is>
      </c>
      <c r="E8" s="37" t="inlineStr">
        <is>
          <t>binário</t>
        </is>
      </c>
      <c r="F8" s="37" t="inlineStr">
        <is>
          <t>linha</t>
        </is>
      </c>
      <c r="G8" s="36" t="inlineStr">
        <is>
          <t>~350 MB (tabelas + índices)</t>
        </is>
      </c>
      <c r="H8" s="36" t="inlineStr">
        <is>
          <t>registro inteiro ou busca por chave (id_deputado, documento)</t>
        </is>
      </c>
      <c r="I8" s="36" t="inlineStr">
        <is>
          <t>diária / frequente</t>
        </is>
      </c>
      <c r="J8" s="36" t="inlineStr">
        <is>
          <t>PostgreSQL (mantido)</t>
        </is>
      </c>
      <c r="K8" s="36" t="inlineStr">
        <is>
          <t>Permite restrições de integridade ACID estritas, integridade referencial por chave estrangeira e suporte nativo a CDC (Change Data Capture) via WAL/Debezium para a E2.</t>
        </is>
      </c>
      <c r="L8" s="36" t="inlineStr">
        <is>
          <t>Garantia de consistência contábil absoluta e suporte a transações concorrentes.</t>
        </is>
      </c>
    </row>
    <row r="9" ht="33.75" customHeight="1" s="33">
      <c r="A9" s="37" t="n">
        <v>3</v>
      </c>
      <c r="B9" s="36" t="inlineStr">
        <is>
          <t>Camada Semântica de Métricas e Agregações</t>
        </is>
      </c>
      <c r="C9" s="37" t="inlineStr">
        <is>
          <t>1, 2</t>
        </is>
      </c>
      <c r="D9" s="36" t="inlineStr">
        <is>
          <t>Tabelas analíticas agregadas / visualizações SQL</t>
        </is>
      </c>
      <c r="E9" s="37" t="inlineStr">
        <is>
          <t>binário</t>
        </is>
      </c>
      <c r="F9" s="37" t="inlineStr">
        <is>
          <t>coluna</t>
        </is>
      </c>
      <c r="G9" s="36" t="inlineStr">
        <is>
          <t>~30 MB</t>
        </is>
      </c>
      <c r="H9" s="36" t="inlineStr">
        <is>
          <t>poucas colunas (médias, rankings e somas)</t>
        </is>
      </c>
      <c r="I9" s="36" t="inlineStr">
        <is>
          <t>constante (a cada requisição de dashboard)</t>
        </is>
      </c>
      <c r="J9" s="36" t="inlineStr">
        <is>
          <t>Parquet / DuckDB</t>
        </is>
      </c>
      <c r="K9" s="36" t="inlineStr">
        <is>
          <t>Consultas analíticas de dashboard não devem onerar o banco de produção OLTP; a camada colunar responde em milissegundos.</t>
        </is>
      </c>
      <c r="L9" s="36" t="inlineStr">
        <is>
          <t>Latência de resposta &lt; 50 ms para o usuário final no painel.</t>
        </is>
      </c>
    </row>
    <row r="10" ht="33.75" customHeight="1" s="33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 ht="33.75" customHeight="1" s="33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 ht="33.75" customHeight="1" s="33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 ht="33.75" customHeight="1" s="3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 ht="33.75" customHeight="1" s="33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 ht="33.75" customHeight="1" s="33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 ht="33.75" customHeight="1" s="33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 ht="33.75" customHeight="1" s="33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 ht="33.75" customHeight="1" s="33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 ht="33.75" customHeight="1" s="33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 ht="33.75" customHeight="1" s="33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 ht="33.75" customHeight="1" s="33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 ht="15.75" customHeight="1" s="33"/>
    <row r="23" ht="19.5" customHeight="1" s="33">
      <c r="A23" s="4" t="inlineStr">
        <is>
          <t>Dica do bloco 2: linha favorece quem lê registros inteiros; coluna favorece quem lê poucos atributos de muitos registros. Texto é legível e volumoso; binário é compacto e opaco.</t>
        </is>
      </c>
    </row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4">
    <mergeCell ref="A2:L2"/>
    <mergeCell ref="A4:L4"/>
    <mergeCell ref="A1:L1"/>
    <mergeCell ref="A23:L23"/>
  </mergeCells>
  <pageMargins left="0.75" right="0.75" top="1" bottom="1" header="0" footer="0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5" customWidth="1" style="33" min="1" max="1"/>
    <col width="22" customWidth="1" style="33" min="2" max="2"/>
    <col width="26" customWidth="1" style="33" min="3" max="3"/>
    <col width="30" customWidth="1" style="33" min="4" max="4"/>
    <col width="28" customWidth="1" style="33" min="5" max="5"/>
    <col width="18" customWidth="1" style="33" min="6" max="6"/>
    <col width="24" customWidth="1" style="33" min="7" max="7"/>
    <col width="20" customWidth="1" style="33" min="8" max="8"/>
    <col width="22" customWidth="1" style="33" min="9" max="9"/>
    <col width="36" customWidth="1" style="33" min="10" max="10"/>
    <col width="8.710000000000001" customWidth="1" style="33" min="11" max="26"/>
  </cols>
  <sheetData>
    <row r="1" ht="30" customHeight="1" s="33">
      <c r="A1" s="34" t="inlineStr">
        <is>
          <t>Bloco 3 — Modelo de dados do projeto</t>
        </is>
      </c>
    </row>
    <row r="2" ht="24" customHeight="1" s="33">
      <c r="A2" s="4" t="inlineStr">
        <is>
          <t>Primeiro as entidades do domínio; depois as consultas que o sistema precisa responder.</t>
        </is>
      </c>
    </row>
    <row r="4">
      <c r="A4" s="6" t="inlineStr">
        <is>
          <t>Linha 6 = exemplo fictício (não apague). Preencha a partir da linha 7.</t>
        </is>
      </c>
    </row>
    <row r="5" ht="42" customHeight="1" s="33">
      <c r="A5" s="5" t="inlineStr">
        <is>
          <t>Nº</t>
        </is>
      </c>
      <c r="B5" s="5" t="inlineStr">
        <is>
          <t>Entidade do domínio</t>
        </is>
      </c>
      <c r="C5" s="5" t="inlineStr">
        <is>
          <t>O que ela representa</t>
        </is>
      </c>
      <c r="D5" s="5" t="inlineStr">
        <is>
          <t>Atributos principais</t>
        </is>
      </c>
      <c r="E5" s="5" t="inlineStr">
        <is>
          <t>Relacionamentos com outras entidades</t>
        </is>
      </c>
      <c r="F5" s="5" t="inlineStr">
        <is>
          <t>Identificador (chave)</t>
        </is>
      </c>
      <c r="G5" s="5" t="inlineStr">
        <is>
          <t>Modelo escolhido
(relacional | documento | chave-valor | grafo | série temporal | vetorial)</t>
        </is>
      </c>
      <c r="H5" s="5" t="inlineStr">
        <is>
          <t>Modelos descartados</t>
        </is>
      </c>
      <c r="I5" s="5" t="inlineStr">
        <is>
          <t>Normalizado ou desnormalizado?</t>
        </is>
      </c>
      <c r="J5" s="5" t="inlineStr">
        <is>
          <t>Justificativa da escolha</t>
        </is>
      </c>
    </row>
    <row r="6" ht="45.75" customHeight="1" s="33">
      <c r="A6" s="13" t="inlineStr">
        <is>
          <t>1</t>
        </is>
      </c>
      <c r="B6" s="13" t="inlineStr">
        <is>
          <t>Empréstimo</t>
        </is>
      </c>
      <c r="C6" s="13" t="inlineStr">
        <is>
          <t>Uma retirada de bicicleta por uma pessoa</t>
        </is>
      </c>
      <c r="D6" s="13" t="inlineStr">
        <is>
          <t>id, matrícula, id_bicicleta, retirada, devolução, situação</t>
        </is>
      </c>
      <c r="E6" s="13" t="inlineStr">
        <is>
          <t>Pertence a um Usuário; refere-se a uma Bicicleta</t>
        </is>
      </c>
      <c r="F6" s="13" t="inlineStr">
        <is>
          <t>id_emprestimo (chave primária)</t>
        </is>
      </c>
      <c r="G6" s="13" t="inlineStr">
        <is>
          <t>relacional</t>
        </is>
      </c>
      <c r="H6" s="13" t="inlineStr">
        <is>
          <t>documento (relações são o centro do domínio)</t>
        </is>
      </c>
      <c r="I6" s="13" t="inlineStr">
        <is>
          <t>normalizado</t>
        </is>
      </c>
      <c r="J6" s="13" t="inlineStr">
        <is>
          <t>Integridade importa mais que flexibilidade: não pode existir empréstimo de bicicleta inexistente</t>
        </is>
      </c>
    </row>
    <row r="7" ht="33.75" customHeight="1" s="33">
      <c r="A7" s="37" t="n">
        <v>1</v>
      </c>
      <c r="B7" s="36" t="inlineStr">
        <is>
          <t>despesa_ceap</t>
        </is>
      </c>
      <c r="C7" s="36" t="inlineStr">
        <is>
          <t>Registro individual de reembolso/pagamento de cota parlamentar (Livro-Razão)</t>
        </is>
      </c>
      <c r="D7" s="36" t="inlineStr">
        <is>
          <t>id_despesa, ide_documento, id_deputado, id_fornecedor, num_subcota, valor_documento, valor_glosa, valor_liquido, mes_competencia, ano_competencia, data_emissao</t>
        </is>
      </c>
      <c r="E7" s="36" t="inlineStr">
        <is>
          <t>Refere-se a um Parlamentar, um Fornecedor, uma Categoria e uma Especificação</t>
        </is>
      </c>
      <c r="F7" s="36" t="inlineStr">
        <is>
          <t>id_despesa (PK surrogate) / ide_documento</t>
        </is>
      </c>
      <c r="G7" s="37" t="inlineStr">
        <is>
          <t>relacional</t>
        </is>
      </c>
      <c r="H7" s="36" t="inlineStr">
        <is>
          <t>documento, grafo</t>
        </is>
      </c>
      <c r="I7" s="37" t="inlineStr">
        <is>
          <t>normalizado</t>
        </is>
      </c>
      <c r="J7" s="36" t="inlineStr">
        <is>
          <t>Padrão insert-only para auditoria contábil e conformidade ACID estrita sem sobrescrita de histórico.</t>
        </is>
      </c>
    </row>
    <row r="8" ht="33.75" customHeight="1" s="33">
      <c r="A8" s="37" t="n">
        <v>2</v>
      </c>
      <c r="B8" s="36" t="inlineStr">
        <is>
          <t>parlamentar</t>
        </is>
      </c>
      <c r="C8" s="36" t="inlineStr">
        <is>
          <t>Deputado federal ou liderança parlamentar com prerrogativa de cota</t>
        </is>
      </c>
      <c r="D8" s="36" t="inlineStr">
        <is>
          <t>id_deputado, nome_parlamentar, cpf, ide_cadastro, nu_carteira_parlamentar</t>
        </is>
      </c>
      <c r="E8" s="36" t="inlineStr">
        <is>
          <t>Possui vários Mandatos; realiza várias Despesas</t>
        </is>
      </c>
      <c r="F8" s="36" t="inlineStr">
        <is>
          <t>id_deputado (PK)</t>
        </is>
      </c>
      <c r="G8" s="37" t="inlineStr">
        <is>
          <t>relacional</t>
        </is>
      </c>
      <c r="H8" s="36" t="inlineStr">
        <is>
          <t>chave-valor</t>
        </is>
      </c>
      <c r="I8" s="37" t="inlineStr">
        <is>
          <t>normalizado</t>
        </is>
      </c>
      <c r="J8" s="36" t="inlineStr">
        <is>
          <t>Evita duplicar nomes e dados biográficos em 920 mil registros de despesas.</t>
        </is>
      </c>
    </row>
    <row r="9" ht="33.75" customHeight="1" s="33">
      <c r="A9" s="37" t="n">
        <v>3</v>
      </c>
      <c r="B9" s="36" t="inlineStr">
        <is>
          <t>fornecedor</t>
        </is>
      </c>
      <c r="C9" s="36" t="inlineStr">
        <is>
          <t>Empresa ou prestador de serviço que recebeu pagamentos da cota</t>
        </is>
      </c>
      <c r="D9" s="36" t="inlineStr">
        <is>
          <t>id_fornecedor, cnpj_cpf, razao_social</t>
        </is>
      </c>
      <c r="E9" s="36" t="inlineStr">
        <is>
          <t>Emite documentos fiscais associados a várias Despesas</t>
        </is>
      </c>
      <c r="F9" s="36" t="inlineStr">
        <is>
          <t>id_fornecedor (PK)</t>
        </is>
      </c>
      <c r="G9" s="37" t="inlineStr">
        <is>
          <t>relacional</t>
        </is>
      </c>
      <c r="H9" s="36" t="inlineStr">
        <is>
          <t>documento</t>
        </is>
      </c>
      <c r="I9" s="37" t="inlineStr">
        <is>
          <t>normalizado</t>
        </is>
      </c>
      <c r="J9" s="36" t="inlineStr">
        <is>
          <t>Permite agregar e ranquear fornecedores sem inconsistência de grafia de razão social.</t>
        </is>
      </c>
    </row>
    <row r="10" ht="33.75" customHeight="1" s="33">
      <c r="A10" s="37" t="n">
        <v>4</v>
      </c>
      <c r="B10" s="36" t="inlineStr">
        <is>
          <t>mandato_parlamentar</t>
        </is>
      </c>
      <c r="C10" s="36" t="inlineStr">
        <is>
          <t>Vínculo de representação política (partido, UF e legislatura)</t>
        </is>
      </c>
      <c r="D10" s="36" t="inlineStr">
        <is>
          <t>id_mandato, id_deputado, sigla_partido, sigla_uf, codigo_legislatura, ano_legislatura</t>
        </is>
      </c>
      <c r="E10" s="36" t="inlineStr">
        <is>
          <t>Pertence a um Parlamentar</t>
        </is>
      </c>
      <c r="F10" s="36" t="inlineStr">
        <is>
          <t>id_mandato (PK) / uk(id_deputado, partido, uf, leg)</t>
        </is>
      </c>
      <c r="G10" s="37" t="inlineStr">
        <is>
          <t>relacional</t>
        </is>
      </c>
      <c r="H10" s="36" t="inlineStr">
        <is>
          <t>chave-valor</t>
        </is>
      </c>
      <c r="I10" s="37" t="inlineStr">
        <is>
          <t>normalizado</t>
        </is>
      </c>
      <c r="J10" s="36" t="inlineStr">
        <is>
          <t>Modela a troca de partido ou estado ao longo do tempo sem sobrescrever histórico antigo.</t>
        </is>
      </c>
    </row>
    <row r="11" ht="33.75" customHeight="1" s="33">
      <c r="A11" s="37" t="n">
        <v>5</v>
      </c>
      <c r="B11" s="36" t="inlineStr">
        <is>
          <t>categoria_despesa</t>
        </is>
      </c>
      <c r="C11" s="36" t="inlineStr">
        <is>
          <t>Subcota orçamentária que classifica o tipo de gasto (combustível, passagens, etc.)</t>
        </is>
      </c>
      <c r="D11" s="36" t="inlineStr">
        <is>
          <t>num_subcota, descricao</t>
        </is>
      </c>
      <c r="E11" s="36" t="inlineStr">
        <is>
          <t>Classifica múltiplas Despesas; detalha-se em Especificações</t>
        </is>
      </c>
      <c r="F11" s="36" t="inlineStr">
        <is>
          <t>num_subcota (PK)</t>
        </is>
      </c>
      <c r="G11" s="37" t="inlineStr">
        <is>
          <t>relacional</t>
        </is>
      </c>
      <c r="H11" s="36" t="inlineStr">
        <is>
          <t>documento</t>
        </is>
      </c>
      <c r="I11" s="37" t="inlineStr">
        <is>
          <t>normalizado</t>
        </is>
      </c>
      <c r="J11" s="36" t="inlineStr">
        <is>
          <t>Tabela de domínio estática que garante integridade na classificação contábil.</t>
        </is>
      </c>
    </row>
    <row r="12" ht="33.75" customHeight="1" s="33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</row>
    <row r="13" ht="33.75" customHeight="1" s="3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</row>
    <row r="14" ht="33.75" customHeight="1" s="33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</row>
    <row r="15" ht="33.75" customHeight="1" s="33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</row>
    <row r="16" ht="33.75" customHeight="1" s="33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 ht="33.75" customHeight="1" s="33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</row>
    <row r="18" ht="33.75" customHeight="1" s="33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</row>
    <row r="19" ht="33.75" customHeight="1" s="33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</row>
    <row r="20" ht="33.75" customHeight="1" s="33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 ht="33.75" customHeight="1" s="33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</row>
    <row r="22" ht="15.75" customHeight="1" s="33"/>
    <row r="23" ht="21.75" customHeight="1" s="33">
      <c r="A23" s="35" t="inlineStr">
        <is>
          <t>CONSULTAS QUE O SISTEMA PRECISA RESPONDER — escreva em português, não em SQL</t>
        </is>
      </c>
    </row>
    <row r="24" ht="37.5" customHeight="1" s="33">
      <c r="A24" s="28" t="inlineStr">
        <is>
          <t>Nº</t>
        </is>
      </c>
      <c r="B24" s="28" t="inlineStr">
        <is>
          <t>Consulta em português</t>
        </is>
      </c>
      <c r="C24" s="28" t="inlineStr">
        <is>
          <t>Quem pergunta</t>
        </is>
      </c>
      <c r="D24" s="28" t="inlineStr">
        <is>
          <t>Frequência
(por dia)</t>
        </is>
      </c>
      <c r="E24" s="28" t="inlineStr">
        <is>
          <t>Tipo
(pontual | agregada | de percurso)</t>
        </is>
      </c>
      <c r="F24" s="28" t="inlineStr">
        <is>
          <t>Em que modelo ela fica fácil</t>
        </is>
      </c>
      <c r="G24" s="28" t="inlineStr">
        <is>
          <t>Em que modelo ela fica sofrida</t>
        </is>
      </c>
      <c r="H24" s="28" t="inlineStr">
        <is>
          <t>Por quê</t>
        </is>
      </c>
      <c r="I24" s="28" t="inlineStr">
        <is>
          <t>Onde ela aparece no projeto (tela, relatório, API)</t>
        </is>
      </c>
      <c r="J24" s="28" t="inlineStr">
        <is>
          <t>Observações</t>
        </is>
      </c>
    </row>
    <row r="25" ht="45.75" customHeight="1" s="33">
      <c r="A25" s="13" t="inlineStr">
        <is>
          <t>1</t>
        </is>
      </c>
      <c r="B25" s="13" t="inlineStr">
        <is>
          <t>Quantas bicicletas estão emprestadas agora?</t>
        </is>
      </c>
      <c r="C25" s="13" t="inlineStr">
        <is>
          <t>Equipe de manutenção</t>
        </is>
      </c>
      <c r="D25" s="13" t="inlineStr">
        <is>
          <t>~200</t>
        </is>
      </c>
      <c r="E25" s="13" t="inlineStr">
        <is>
          <t>agregada</t>
        </is>
      </c>
      <c r="F25" s="13" t="inlineStr">
        <is>
          <t>relacional</t>
        </is>
      </c>
      <c r="G25" s="13" t="inlineStr">
        <is>
          <t>documento</t>
        </is>
      </c>
      <c r="H25" s="13" t="inlineStr">
        <is>
          <t>Exige contar registros com filtro — trivial com índice e SQL</t>
        </is>
      </c>
      <c r="I25" s="13" t="inlineStr">
        <is>
          <t>Painel da equipe de manutenção</t>
        </is>
      </c>
      <c r="J25" s="13" t="inlineStr">
        <is>
          <t>Precisa refletir o estado do momento</t>
        </is>
      </c>
    </row>
    <row r="26" ht="33.75" customHeight="1" s="33">
      <c r="A26" s="37" t="n">
        <v>1</v>
      </c>
      <c r="B26" s="36" t="inlineStr">
        <is>
          <t>Qual é o custo médio mensal da cota parlamentar por deputado federal?</t>
        </is>
      </c>
      <c r="C26" s="36" t="inlineStr">
        <is>
          <t>Cidadão / Analista de Transparência</t>
        </is>
      </c>
      <c r="D26" s="37" t="inlineStr">
        <is>
          <t>~100</t>
        </is>
      </c>
      <c r="E26" s="37" t="inlineStr">
        <is>
          <t>agregada</t>
        </is>
      </c>
      <c r="F26" s="37" t="inlineStr">
        <is>
          <t>relacional / colunar</t>
        </is>
      </c>
      <c r="G26" s="37" t="inlineStr">
        <is>
          <t>chave-valor</t>
        </is>
      </c>
      <c r="H26" s="36" t="inlineStr">
        <is>
          <t>Exige somar e dividir por número de meses ativos, agrupado por deputado.</t>
        </is>
      </c>
      <c r="I26" s="36" t="inlineStr">
        <is>
          <t>Painel de controle / API pública</t>
        </is>
      </c>
      <c r="J26" s="36" t="inlineStr">
        <is>
          <t>Permite identificar anomalias estatísticas de gastos.</t>
        </is>
      </c>
    </row>
    <row r="27" ht="33.75" customHeight="1" s="33">
      <c r="A27" s="37" t="n">
        <v>2</v>
      </c>
      <c r="B27" s="36" t="inlineStr">
        <is>
          <t>Quais são os parlamentares que mais e menos utilizam a Cota Parlamentar na legislatura?</t>
        </is>
      </c>
      <c r="C27" s="36" t="inlineStr">
        <is>
          <t>Jornalistas / Eleitores</t>
        </is>
      </c>
      <c r="D27" s="37" t="inlineStr">
        <is>
          <t>~500</t>
        </is>
      </c>
      <c r="E27" s="37" t="inlineStr">
        <is>
          <t>agregada</t>
        </is>
      </c>
      <c r="F27" s="37" t="inlineStr">
        <is>
          <t>relacional</t>
        </is>
      </c>
      <c r="G27" s="37" t="inlineStr">
        <is>
          <t>documento</t>
        </is>
      </c>
      <c r="H27" s="36" t="inlineStr">
        <is>
          <t>Agrupamento por id_deputado com ORDER BY SUM(valor_liquido) DESC / ASC.</t>
        </is>
      </c>
      <c r="I27" s="36" t="inlineStr">
        <is>
          <t>Página inicial do portal / Ranking de parlamentares</t>
        </is>
      </c>
      <c r="J27" s="36" t="inlineStr">
        <is>
          <t>Consulta central da pergunta de gestão.</t>
        </is>
      </c>
    </row>
    <row r="28" ht="33.75" customHeight="1" s="33">
      <c r="A28" s="37" t="n">
        <v>3</v>
      </c>
      <c r="B28" s="36" t="inlineStr">
        <is>
          <t>Quais empresas/fornecedores são os maiores recebedores de pagamentos da cota?</t>
        </is>
      </c>
      <c r="C28" s="36" t="inlineStr">
        <is>
          <t>Órgãos de controle / Sociedade civil</t>
        </is>
      </c>
      <c r="D28" s="37" t="inlineStr">
        <is>
          <t>~200</t>
        </is>
      </c>
      <c r="E28" s="37" t="inlineStr">
        <is>
          <t>agregada</t>
        </is>
      </c>
      <c r="F28" s="37" t="inlineStr">
        <is>
          <t>relacional</t>
        </is>
      </c>
      <c r="G28" s="37" t="inlineStr">
        <is>
          <t>chave-valor</t>
        </is>
      </c>
      <c r="H28" s="36" t="inlineStr">
        <is>
          <t>GROUP BY id_fornecedor com junção simples entre despesa e fornecedor.</t>
        </is>
      </c>
      <c r="I28" s="36" t="inlineStr">
        <is>
          <t>Relatório de concentração econômica de fornecedores</t>
        </is>
      </c>
      <c r="J28" s="36" t="inlineStr">
        <is>
          <t>Mapeia risco de favorecimento ou sobrepreço.</t>
        </is>
      </c>
    </row>
    <row r="29" ht="33.75" customHeight="1" s="33">
      <c r="A29" s="37" t="n">
        <v>4</v>
      </c>
      <c r="B29" s="36" t="inlineStr">
        <is>
          <t>Qual é a categoria de despesa mais representativa (combustível, passagens, etc.)?</t>
        </is>
      </c>
      <c r="C29" s="36" t="inlineStr">
        <is>
          <t>Pesquisadores / Cidadãos</t>
        </is>
      </c>
      <c r="D29" s="37" t="inlineStr">
        <is>
          <t>~150</t>
        </is>
      </c>
      <c r="E29" s="37" t="inlineStr">
        <is>
          <t>agregada</t>
        </is>
      </c>
      <c r="F29" s="37" t="inlineStr">
        <is>
          <t>relacional</t>
        </is>
      </c>
      <c r="G29" s="37" t="inlineStr">
        <is>
          <t>documento</t>
        </is>
      </c>
      <c r="H29" s="36" t="inlineStr">
        <is>
          <t>Fácil em SQL agrupando por num_subcota.</t>
        </is>
      </c>
      <c r="I29" s="36" t="inlineStr">
        <is>
          <t>Gráfico de barras de categorias de despesa</t>
        </is>
      </c>
      <c r="J29" s="36" t="inlineStr">
        <is>
          <t>Ajuda a entender para onde vai a maior fatia do recurso público.</t>
        </is>
      </c>
    </row>
    <row r="30" ht="33.75" customHeight="1" s="33">
      <c r="A30" s="37" t="n">
        <v>5</v>
      </c>
      <c r="B30" s="36" t="inlineStr">
        <is>
          <t>Quanto cada partido político consome do total acumulado da cota ao longo dos anos?</t>
        </is>
      </c>
      <c r="C30" s="36" t="inlineStr">
        <is>
          <t>Cientistas políticos / Eleitores</t>
        </is>
      </c>
      <c r="D30" s="37" t="inlineStr">
        <is>
          <t>~300</t>
        </is>
      </c>
      <c r="E30" s="37" t="inlineStr">
        <is>
          <t>agregada</t>
        </is>
      </c>
      <c r="F30" s="37" t="inlineStr">
        <is>
          <t>relacional</t>
        </is>
      </c>
      <c r="G30" s="37" t="inlineStr">
        <is>
          <t>grafo</t>
        </is>
      </c>
      <c r="H30" s="36" t="inlineStr">
        <is>
          <t>Agrupamento por sigla_partido com somatório de valor líquido.</t>
        </is>
      </c>
      <c r="I30" s="36" t="inlineStr">
        <is>
          <t>Painel de partidos políticos</t>
        </is>
      </c>
      <c r="J30" s="36" t="inlineStr">
        <is>
          <t>Permite ponderar o gasto total pelo tamanho da bancada.</t>
        </is>
      </c>
    </row>
    <row r="31" ht="33.75" customHeight="1" s="33">
      <c r="A31" s="37" t="n">
        <v>6</v>
      </c>
      <c r="B31" s="36" t="inlineStr">
        <is>
          <t>Qual é a proporção de gastos com nota fiscal emitida em fins de semana ou feriados em comparação aos dias úteis?</t>
        </is>
      </c>
      <c r="C31" s="36" t="inlineStr">
        <is>
          <t>Auditoria cidadã</t>
        </is>
      </c>
      <c r="D31" s="37" t="inlineStr">
        <is>
          <t>~50</t>
        </is>
      </c>
      <c r="E31" s="37" t="inlineStr">
        <is>
          <t>agregada</t>
        </is>
      </c>
      <c r="F31" s="37" t="inlineStr">
        <is>
          <t>relacional</t>
        </is>
      </c>
      <c r="G31" s="37" t="inlineStr">
        <is>
          <t>chave-valor</t>
        </is>
      </c>
      <c r="H31" s="36" t="inlineStr">
        <is>
          <t>Exige avaliar o dia da semana a partir de data_emissao (EXTRACT(ISODOW FROM data_emissao)).</t>
        </is>
      </c>
      <c r="I31" s="36" t="inlineStr">
        <is>
          <t>Painel de alertas de auditoria temporal</t>
        </is>
      </c>
      <c r="J31" s="36" t="inlineStr">
        <is>
          <t>Demonstra a importância de carimbos de tempo bem tipados.</t>
        </is>
      </c>
    </row>
    <row r="32" ht="33.75" customHeight="1" s="33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</row>
    <row r="33" ht="33.75" customHeight="1" s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</row>
    <row r="34" ht="33.75" customHeight="1" s="33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</row>
    <row r="35" ht="33.75" customHeight="1" s="33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</row>
    <row r="36" ht="15.75" customHeight="1" s="33"/>
    <row r="37" ht="19.5" customHeight="1" s="33">
      <c r="A37" s="4" t="inlineStr">
        <is>
          <t>Dica do bloco 3: o modelo certo é aquele em que a consulta MAIS FREQUENTE é a mais simples de escrever. Se a pergunta central for sobre conexões de profundidade variável, o relacional vai doer.</t>
        </is>
      </c>
    </row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5">
    <mergeCell ref="A1:J1"/>
    <mergeCell ref="A23:J23"/>
    <mergeCell ref="A37:J37"/>
    <mergeCell ref="A4:J4"/>
    <mergeCell ref="A2:J2"/>
  </mergeCells>
  <pageMargins left="0.75" right="0.75" top="1" bottom="1" header="0" footer="0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5" customWidth="1" style="33" min="1" max="1"/>
    <col width="20" customWidth="1" style="33" min="2" max="2"/>
    <col width="26" customWidth="1" style="33" min="3" max="3"/>
    <col width="16" customWidth="1" style="33" min="4" max="4"/>
    <col width="20" customWidth="1" style="33" min="5" max="5"/>
    <col width="14" customWidth="1" style="33" min="6" max="6"/>
    <col width="16" customWidth="1" style="33" min="7" max="7"/>
    <col width="18" customWidth="1" style="33" min="8" max="8"/>
    <col width="22" customWidth="1" style="33" min="9" max="10"/>
    <col width="24" customWidth="1" style="33" min="11" max="11"/>
    <col width="16" customWidth="1" style="33" min="12" max="12"/>
    <col width="34" customWidth="1" style="33" min="13" max="13"/>
    <col width="8.710000000000001" customWidth="1" style="33" min="14" max="26"/>
  </cols>
  <sheetData>
    <row r="1" ht="30" customHeight="1" s="33">
      <c r="A1" s="34" t="inlineStr">
        <is>
          <t>Bloco 4 — Cargas de trabalho, engines e garantias</t>
        </is>
      </c>
    </row>
    <row r="2" ht="24" customHeight="1" s="33">
      <c r="A2" s="4" t="inlineStr">
        <is>
          <t>Uma linha por armazenamento do projeto (banco principal, cache, réplica analítica, arquivo…).</t>
        </is>
      </c>
    </row>
    <row r="4">
      <c r="A4" s="6" t="inlineStr">
        <is>
          <t>Linha 6 = exemplo fictício (não apague). Preencha a partir da linha 7.</t>
        </is>
      </c>
    </row>
    <row r="5" ht="42" customHeight="1" s="33">
      <c r="A5" s="5" t="inlineStr">
        <is>
          <t>Nº</t>
        </is>
      </c>
      <c r="B5" s="5" t="inlineStr">
        <is>
          <t>Armazenamento</t>
        </is>
      </c>
      <c r="C5" s="5" t="inlineStr">
        <is>
          <t>O que guarda</t>
        </is>
      </c>
      <c r="D5" s="5" t="inlineStr">
        <is>
          <t>Tipo de carga
(OLTP | OLAP | misto)</t>
        </is>
      </c>
      <c r="E5" s="5" t="inlineStr">
        <is>
          <t>SGBD ou serviço escolhido</t>
        </is>
      </c>
      <c r="F5" s="5" t="inlineStr">
        <is>
          <t>Orientação
(linha | coluna)</t>
        </is>
      </c>
      <c r="G5" s="5" t="inlineStr">
        <is>
          <t>Latência aceitável</t>
        </is>
      </c>
      <c r="H5" s="5" t="inlineStr">
        <is>
          <t>Disponibilidade exigida</t>
        </is>
      </c>
      <c r="I5" s="5" t="inlineStr">
        <is>
          <t>Garantias ACID necessárias
(A, C, I, D — quais)</t>
        </is>
      </c>
      <c r="J5" s="5" t="inlineStr">
        <is>
          <t>De qual garantia dá para abrir mão</t>
        </is>
      </c>
      <c r="K5" s="5" t="inlineStr">
        <is>
          <t>Quem cobre esse buraco se abrir mão</t>
        </is>
      </c>
      <c r="L5" s="5" t="inlineStr">
        <is>
          <t>Volume estimado em 1 ano</t>
        </is>
      </c>
      <c r="M5" s="5" t="inlineStr">
        <is>
          <t>Justificativa da escolha</t>
        </is>
      </c>
    </row>
    <row r="6" ht="45.75" customHeight="1" s="33">
      <c r="A6" s="13" t="inlineStr">
        <is>
          <t>1</t>
        </is>
      </c>
      <c r="B6" s="13" t="inlineStr">
        <is>
          <t>Banco principal</t>
        </is>
      </c>
      <c r="C6" s="13" t="inlineStr">
        <is>
          <t>Usuários, bicicletas, empréstimos em andamento</t>
        </is>
      </c>
      <c r="D6" s="13" t="inlineStr">
        <is>
          <t>OLTP</t>
        </is>
      </c>
      <c r="E6" s="13" t="inlineStr">
        <is>
          <t>PostgreSQL</t>
        </is>
      </c>
      <c r="F6" s="13" t="inlineStr">
        <is>
          <t>linha</t>
        </is>
      </c>
      <c r="G6" s="13" t="inlineStr">
        <is>
          <t>&lt; 300 ms na retirada</t>
        </is>
      </c>
      <c r="H6" s="13" t="inlineStr">
        <is>
          <t>alta — sem ele ninguém pega bicicleta</t>
        </is>
      </c>
      <c r="I6" s="13" t="inlineStr">
        <is>
          <t>A, I e D são obrigatórias</t>
        </is>
      </c>
      <c r="J6" s="13" t="inlineStr">
        <is>
          <t>Nenhuma, no momento</t>
        </is>
      </c>
      <c r="K6" s="13" t="inlineStr">
        <is>
          <t>—</t>
        </is>
      </c>
      <c r="L6" s="13" t="inlineStr">
        <is>
          <t>~1,5 GB</t>
        </is>
      </c>
      <c r="M6" s="13" t="inlineStr">
        <is>
          <t>Domínio com integridade forte, volume moderado e equipe que já domina SQL</t>
        </is>
      </c>
    </row>
    <row r="7" ht="33.75" customHeight="1" s="33">
      <c r="A7" s="37" t="n">
        <v>1</v>
      </c>
      <c r="B7" s="36" t="inlineStr">
        <is>
          <t>Banco Transacional Principal (OLTP)</t>
        </is>
      </c>
      <c r="C7" s="36" t="inlineStr">
        <is>
          <t>Parlamentares, fornecedores, mandatos, categorias e livro-razão de despesas da CEAP</t>
        </is>
      </c>
      <c r="D7" s="37" t="inlineStr">
        <is>
          <t>OLTP</t>
        </is>
      </c>
      <c r="E7" s="36" t="inlineStr">
        <is>
          <t>PostgreSQL 16</t>
        </is>
      </c>
      <c r="F7" s="37" t="inlineStr">
        <is>
          <t>linha</t>
        </is>
      </c>
      <c r="G7" s="36" t="inlineStr">
        <is>
          <t>&lt; 150 ms para busca por documento ou deputado</t>
        </is>
      </c>
      <c r="H7" s="36" t="inlineStr">
        <is>
          <t>alta — fonte primária de integridade</t>
        </is>
      </c>
      <c r="I7" s="36" t="inlineStr">
        <is>
          <t>A, C, I e D são obrigatórias</t>
        </is>
      </c>
      <c r="J7" s="36" t="inlineStr">
        <is>
          <t>Nenhuma</t>
        </is>
      </c>
      <c r="K7" s="36" t="inlineStr">
        <is>
          <t>—</t>
        </is>
      </c>
      <c r="L7" s="36" t="inlineStr">
        <is>
          <t>~350 MB (4 anos)</t>
        </is>
      </c>
      <c r="M7" s="36" t="inlineStr">
        <is>
          <t>Domínio financeiro e contábil público que exige integridade referencial estrita, transações ACID e suporte a CDC para a E2.</t>
        </is>
      </c>
    </row>
    <row r="8" ht="33.75" customHeight="1" s="33">
      <c r="A8" s="37" t="n">
        <v>2</v>
      </c>
      <c r="B8" s="36" t="inlineStr">
        <is>
          <t>Data Lakehouse / Réplica Analítica (OLAP)</t>
        </is>
      </c>
      <c r="C8" s="36" t="inlineStr">
        <is>
          <t>Tabelas dimensionais e fatos desnormalizados em formato colunar para visualização</t>
        </is>
      </c>
      <c r="D8" s="37" t="inlineStr">
        <is>
          <t>OLAP</t>
        </is>
      </c>
      <c r="E8" s="36" t="inlineStr">
        <is>
          <t>DuckDB + Parquet / MinIO (E2/E3)</t>
        </is>
      </c>
      <c r="F8" s="37" t="inlineStr">
        <is>
          <t>coluna</t>
        </is>
      </c>
      <c r="G8" s="36" t="inlineStr">
        <is>
          <t>&lt; 500 ms para agregações complexas sobre quase 1 milhão de linhas</t>
        </is>
      </c>
      <c r="H8" s="36" t="inlineStr">
        <is>
          <t>média — pode ser reconstruído a partir do OLTP</t>
        </is>
      </c>
      <c r="I8" s="36" t="inlineStr">
        <is>
          <t>Durabilidade (D); Atomicidade tratada por partição</t>
        </is>
      </c>
      <c r="J8" s="36" t="inlineStr">
        <is>
          <t>Isolamento estrito e atomicidade em nível de linha</t>
        </is>
      </c>
      <c r="K8" s="36" t="inlineStr">
        <is>
          <t>O pipeline em lote e a imutabilidade dos arquivos Parquet</t>
        </is>
      </c>
      <c r="L8" s="36" t="inlineStr">
        <is>
          <t>~100 MB compactado</t>
        </is>
      </c>
      <c r="M8" s="36" t="inlineStr">
        <is>
          <t>Permite relatórios pesados sem degradar o banco transacional operacional.</t>
        </is>
      </c>
    </row>
    <row r="9" ht="33.75" customHeight="1" s="33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 ht="33.75" customHeight="1" s="33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 ht="33.75" customHeight="1" s="33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 ht="33.75" customHeight="1" s="33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 ht="33.75" customHeight="1" s="3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 ht="33.75" customHeight="1" s="33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 ht="33.75" customHeight="1" s="33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 ht="33.75" customHeight="1" s="33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8" ht="19.5" customHeight="1" s="33">
      <c r="A18" s="4" t="inlineStr">
        <is>
          <t>Dica do bloco 4: a pergunta certa não é "tem ACID?", e sim "de que garantia eu posso abrir mão — e quem cobre o buraco?". Relatório pesado não roda no banco de produção.</t>
        </is>
      </c>
    </row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4">
    <mergeCell ref="A4:M4"/>
    <mergeCell ref="A2:M2"/>
    <mergeCell ref="A1:M1"/>
    <mergeCell ref="A18:M18"/>
  </mergeCells>
  <pageMargins left="0.75" right="0.75" top="1" bottom="1" header="0" footer="0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5" customWidth="1" style="33" min="1" max="1"/>
    <col width="22" customWidth="1" style="33" min="2" max="2"/>
    <col width="20" customWidth="1" style="33" min="3" max="4"/>
    <col width="34" customWidth="1" style="33" min="5" max="5"/>
    <col width="12" customWidth="1" style="33" min="6" max="6"/>
    <col width="14" customWidth="1" style="33" min="7" max="7"/>
    <col width="18" customWidth="1" style="33" min="8" max="8"/>
    <col width="26" customWidth="1" style="33" min="9" max="9"/>
    <col width="18" customWidth="1" style="33" min="10" max="10"/>
    <col width="16" customWidth="1" style="33" min="11" max="11"/>
    <col width="28" customWidth="1" style="33" min="12" max="12"/>
    <col width="8.710000000000001" customWidth="1" style="33" min="13" max="26"/>
  </cols>
  <sheetData>
    <row r="1" ht="30" customHeight="1" s="33">
      <c r="A1" s="34" t="inlineStr">
        <is>
          <t>Bloco 5 — Pipeline de dados do projeto (movimentação e transformação)</t>
        </is>
      </c>
    </row>
    <row r="2" ht="24" customHeight="1" s="33">
      <c r="A2" s="4" t="inlineStr">
        <is>
          <t>Uma linha por etapa, na ordem em que o dado percorre o caminho: fonte → ingestão → armazenamento → transformação → consumo.</t>
        </is>
      </c>
    </row>
    <row r="4">
      <c r="A4" s="6" t="inlineStr">
        <is>
          <t>Linha 6 = exemplo fictício (não apague). Preencha a partir da linha 7.</t>
        </is>
      </c>
    </row>
    <row r="5" ht="42" customHeight="1" s="33">
      <c r="A5" s="5" t="inlineStr">
        <is>
          <t>Nº</t>
        </is>
      </c>
      <c r="B5" s="5" t="inlineStr">
        <is>
          <t>Etapa</t>
        </is>
      </c>
      <c r="C5" s="5" t="inlineStr">
        <is>
          <t>Origem</t>
        </is>
      </c>
      <c r="D5" s="5" t="inlineStr">
        <is>
          <t>Destino</t>
        </is>
      </c>
      <c r="E5" s="5" t="inlineStr">
        <is>
          <t>Transformações aplicadas
(limpar, validar, juntar, deduplicar, agregar…)</t>
        </is>
      </c>
      <c r="F5" s="5" t="inlineStr">
        <is>
          <t>ETL ou ELT</t>
        </is>
      </c>
      <c r="G5" s="5" t="inlineStr">
        <is>
          <t>Lote ou contínuo</t>
        </is>
      </c>
      <c r="H5" s="5" t="inlineStr">
        <is>
          <t>Frequência de execução</t>
        </is>
      </c>
      <c r="I5" s="5" t="inlineStr">
        <is>
          <t>Custo de um atraso de 1 hora</t>
        </is>
      </c>
      <c r="J5" s="5" t="inlineStr">
        <is>
          <t>Ferramenta prevista</t>
        </is>
      </c>
      <c r="K5" s="5" t="inlineStr">
        <is>
          <t>Responsável na equipe</t>
        </is>
      </c>
      <c r="L5" s="5" t="inlineStr">
        <is>
          <t>Como a equipe sabe que a etapa falhou</t>
        </is>
      </c>
    </row>
    <row r="6" ht="45.75" customHeight="1" s="33">
      <c r="A6" s="13" t="inlineStr">
        <is>
          <t>1</t>
        </is>
      </c>
      <c r="B6" s="13" t="inlineStr">
        <is>
          <t>Carga diária para análise</t>
        </is>
      </c>
      <c r="C6" s="13" t="inlineStr">
        <is>
          <t>Banco principal (PostgreSQL)</t>
        </is>
      </c>
      <c r="D6" s="13" t="inlineStr">
        <is>
          <t>Arquivo Parquet no armazenamento de objetos</t>
        </is>
      </c>
      <c r="E6" s="13" t="inlineStr">
        <is>
          <t>Deduplicar empréstimos reenviados; derivar duração; anonimizar a matrícula</t>
        </is>
      </c>
      <c r="F6" s="13" t="inlineStr">
        <is>
          <t>ETL</t>
        </is>
      </c>
      <c r="G6" s="13" t="inlineStr">
        <is>
          <t>lote</t>
        </is>
      </c>
      <c r="H6" s="13" t="inlineStr">
        <is>
          <t>diária, às 3h</t>
        </is>
      </c>
      <c r="I6" s="13" t="inlineStr">
        <is>
          <t>Baixo — o painel é olhado uma vez por dia</t>
        </is>
      </c>
      <c r="J6" s="13" t="inlineStr">
        <is>
          <t>Script Python + cron</t>
        </is>
      </c>
      <c r="K6" s="13" t="inlineStr">
        <is>
          <t>Beto Lima</t>
        </is>
      </c>
      <c r="L6" s="13" t="inlineStr">
        <is>
          <t>O job registra a contagem de linhas; se cair abaixo de 100, envia alerta no grupo</t>
        </is>
      </c>
    </row>
    <row r="7" ht="33.75" customHeight="1" s="33">
      <c r="A7" s="37" t="n">
        <v>1</v>
      </c>
      <c r="B7" s="36" t="inlineStr">
        <is>
          <t>Ingestão Automatizada da Fonte Pública</t>
        </is>
      </c>
      <c r="C7" s="36" t="inlineStr">
        <is>
          <t>Portal de Dados Abertos da Câmara dos Deputados (HTTP ZIP/CSV)</t>
        </is>
      </c>
      <c r="D7" s="36" t="inlineStr">
        <is>
          <t>Tabela de Staging UNLOGGED (stg_ceap_raw no PostgreSQL)</t>
        </is>
      </c>
      <c r="E7" s="36" t="inlineStr">
        <is>
          <t>Download concorrente de zips, descompactação em memória, streaming via PostgreSQL COPY</t>
        </is>
      </c>
      <c r="F7" s="37" t="inlineStr">
        <is>
          <t>ELT</t>
        </is>
      </c>
      <c r="G7" s="37" t="inlineStr">
        <is>
          <t>lote</t>
        </is>
      </c>
      <c r="H7" s="36" t="inlineStr">
        <is>
          <t>mensal ou sob demanda (automático na subida)</t>
        </is>
      </c>
      <c r="I7" s="36" t="inlineStr">
        <is>
          <t>Baixo — dados históricos de transparência não exigem tempo real</t>
        </is>
      </c>
      <c r="J7" s="36" t="inlineStr">
        <is>
          <t>Python 3.11 (requests + zipfile) + PostgreSQL COPY</t>
        </is>
      </c>
      <c r="K7" s="36" t="inlineStr">
        <is>
          <t>Squad G8</t>
        </is>
      </c>
      <c r="L7" s="36" t="inlineStr">
        <is>
          <t>O container registra logs no Docker; healthcheck e verificação de contagem de linhas abortam a execução se o download falhar.</t>
        </is>
      </c>
    </row>
    <row r="8" ht="33.75" customHeight="1" s="33">
      <c r="A8" s="37" t="n">
        <v>2</v>
      </c>
      <c r="B8" s="36" t="inlineStr">
        <is>
          <t>Normalização Relacional e Carga Transacional</t>
        </is>
      </c>
      <c r="C8" s="36" t="inlineStr">
        <is>
          <t>Tabela stg_ceap_raw</t>
        </is>
      </c>
      <c r="D8" s="36" t="inlineStr">
        <is>
          <t>Tabelas relacionais (parlamentar, fornecedor, mandato, despesa_ceap)</t>
        </is>
      </c>
      <c r="E8" s="36" t="inlineStr">
        <is>
          <t>Deduplicação de dimensões, conversão de datas e moedas, resolução de chaves estrangeiras, tratamento de valores negativos de cancelamento de passagens</t>
        </is>
      </c>
      <c r="F8" s="37" t="inlineStr">
        <is>
          <t>ELT</t>
        </is>
      </c>
      <c r="G8" s="37" t="inlineStr">
        <is>
          <t>lote</t>
        </is>
      </c>
      <c r="H8" s="36" t="inlineStr">
        <is>
          <t>imediatamente após a Etapa 1</t>
        </is>
      </c>
      <c r="I8" s="36" t="inlineStr">
        <is>
          <t>Baixo</t>
        </is>
      </c>
      <c r="J8" s="36" t="inlineStr">
        <is>
          <t>Scripts SQL ACID idempotentes com ON CONFLICT DO NOTHING / UPDATE</t>
        </is>
      </c>
      <c r="K8" s="36" t="inlineStr">
        <is>
          <t>Squad G8</t>
        </is>
      </c>
      <c r="L8" s="36" t="inlineStr">
        <is>
          <t>Transação SQL aborta com rollback caso haja violação de integridade ou chave estrangeira inexistente.</t>
        </is>
      </c>
    </row>
    <row r="9" ht="33.75" customHeight="1" s="33">
      <c r="A9" s="37" t="n">
        <v>3</v>
      </c>
      <c r="B9" s="36" t="inlineStr">
        <is>
          <t>Captura de Mudanças e Alimentação Analítica (E2/E3)</t>
        </is>
      </c>
      <c r="C9" s="36" t="inlineStr">
        <is>
          <t>Banco Transacional (PostgreSQL)</t>
        </is>
      </c>
      <c r="D9" s="36" t="inlineStr">
        <is>
          <t>Armazenamento Analítico Aberto (Parquet / Lakehouse)</t>
        </is>
      </c>
      <c r="E9" s="36" t="inlineStr">
        <is>
          <t>Captura de inserções na despesa_ceap, desnormalização controlada, compressão colunar</t>
        </is>
      </c>
      <c r="F9" s="37" t="inlineStr">
        <is>
          <t>ETL / ELT</t>
        </is>
      </c>
      <c r="G9" s="37" t="inlineStr">
        <is>
          <t>lote agendado / CDC</t>
        </is>
      </c>
      <c r="H9" s="36" t="inlineStr">
        <is>
          <t>diária / semanal</t>
        </is>
      </c>
      <c r="I9" s="36" t="inlineStr">
        <is>
          <t>Médio — o painel analítico pode ficar defasado em relação à base pública</t>
        </is>
      </c>
      <c r="J9" s="36" t="inlineStr">
        <is>
          <t>DuckDB / dbt / Debezium</t>
        </is>
      </c>
      <c r="K9" s="36" t="inlineStr">
        <is>
          <t>Squad G8</t>
        </is>
      </c>
      <c r="L9" s="36" t="inlineStr">
        <is>
          <t>Testes de expectativa de dados (dbt test / Great Expectations) emitindo alertas caso colunas essenciais contenham nulos.</t>
        </is>
      </c>
    </row>
    <row r="10" ht="33.75" customHeight="1" s="33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 ht="33.75" customHeight="1" s="33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 ht="33.75" customHeight="1" s="33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 ht="33.75" customHeight="1" s="3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 ht="33.75" customHeight="1" s="33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 ht="33.75" customHeight="1" s="33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 ht="33.75" customHeight="1" s="33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 ht="33.75" customHeight="1" s="33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 ht="33.75" customHeight="1" s="33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 ht="33.75" customHeight="1" s="33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 ht="33.75" customHeight="1" s="33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 ht="33.75" customHeight="1" s="33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 ht="15.75" customHeight="1" s="33"/>
    <row r="23" ht="19.5" customHeight="1" s="33">
      <c r="A23" s="4" t="inlineStr">
        <is>
          <t>Dica do bloco 5: extrair e carregar são mecânicos; o trabalho de verdade está no T. Cada transformação é uma decisão de negócio disfarçada de código — documente. Comece em lote e só migre para contínuo quando alguém souber dizer quanto custa o atraso.</t>
        </is>
      </c>
    </row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4">
    <mergeCell ref="A2:L2"/>
    <mergeCell ref="A4:L4"/>
    <mergeCell ref="A1:L1"/>
    <mergeCell ref="A23:L23"/>
  </mergeCells>
  <pageMargins left="0.75" right="0.75" top="1" bottom="1" header="0" footer="0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6" customWidth="1" style="33" min="1" max="1"/>
    <col width="30" customWidth="1" style="33" min="2" max="2"/>
    <col width="70" customWidth="1" style="33" min="3" max="3"/>
    <col width="44" customWidth="1" style="33" min="4" max="4"/>
    <col width="8.710000000000001" customWidth="1" style="33" min="5" max="26"/>
  </cols>
  <sheetData>
    <row r="1" ht="30" customHeight="1" s="33">
      <c r="A1" s="34" t="inlineStr">
        <is>
          <t>Rascunho de ADR — registro da decisão de dados</t>
        </is>
      </c>
    </row>
    <row r="2" ht="24" customHeight="1" s="33">
      <c r="A2" s="4" t="inlineStr">
        <is>
          <t>Este é o insumo do Método de Decisão da disciplina. Preencha em prosa, não em tópicos soltos.</t>
        </is>
      </c>
    </row>
    <row r="4">
      <c r="A4" s="6" t="inlineStr">
        <is>
          <t>Coluna C = resposta da equipe. Coluna D traz o que se espera em cada campo.</t>
        </is>
      </c>
    </row>
    <row r="5" ht="25.5" customHeight="1" s="33">
      <c r="A5" s="5" t="inlineStr">
        <is>
          <t>#</t>
        </is>
      </c>
      <c r="B5" s="5" t="inlineStr">
        <is>
          <t>Campo do ADR</t>
        </is>
      </c>
      <c r="C5" s="5" t="inlineStr">
        <is>
          <t>Resposta da equipe</t>
        </is>
      </c>
      <c r="D5" s="5" t="inlineStr">
        <is>
          <t>O que se espera aqui</t>
        </is>
      </c>
    </row>
    <row r="6" ht="39.75" customHeight="1" s="33">
      <c r="A6" s="29" t="n">
        <v>1</v>
      </c>
      <c r="B6" s="8" t="inlineStr">
        <is>
          <t>Título da decisão</t>
        </is>
      </c>
      <c r="C6" s="36" t="inlineStr">
        <is>
          <t>Adotar modelagem relacional normalizada com padrão insert-only para a fonte transacional da CEAP</t>
        </is>
      </c>
      <c r="D6" s="31" t="inlineStr">
        <is>
          <t>Frase curta no imperativo: "Adotar PostgreSQL como banco principal".</t>
        </is>
      </c>
    </row>
    <row r="7" ht="39.75" customHeight="1" s="33">
      <c r="A7" s="29" t="n">
        <v>2</v>
      </c>
      <c r="B7" s="8" t="inlineStr">
        <is>
          <t>Data</t>
        </is>
      </c>
      <c r="C7" s="36" t="inlineStr">
        <is>
          <t>2026-09-27</t>
        </is>
      </c>
      <c r="D7" s="31" t="inlineStr">
        <is>
          <t>Data em que a decisão foi tomada.</t>
        </is>
      </c>
    </row>
    <row r="8" ht="39.75" customHeight="1" s="33">
      <c r="A8" s="29" t="n">
        <v>3</v>
      </c>
      <c r="B8" s="8" t="inlineStr">
        <is>
          <t>Status</t>
        </is>
      </c>
      <c r="C8" s="36" t="inlineStr">
        <is>
          <t>aceito</t>
        </is>
      </c>
      <c r="D8" s="31" t="inlineStr">
        <is>
          <t>proposto | aceito | substituído por (nº).</t>
        </is>
      </c>
    </row>
    <row r="9" ht="39.75" customHeight="1" s="33">
      <c r="A9" s="29" t="n">
        <v>4</v>
      </c>
      <c r="B9" s="8" t="inlineStr">
        <is>
          <t>Quem decidiu</t>
        </is>
      </c>
      <c r="C9" s="36" t="inlineStr">
        <is>
          <t>Filipe Carvalho, Taynara Vitorino, Gabriel Esteves, Maria Clara Alves, Kalo Macedo, Amanda Gonçalves (Squad G8)</t>
        </is>
      </c>
      <c r="D9" s="31" t="inlineStr">
        <is>
          <t>Nomes de quem participou da decisão.</t>
        </is>
      </c>
    </row>
    <row r="10" ht="51.75" customHeight="1" s="33">
      <c r="A10" s="29" t="n">
        <v>5</v>
      </c>
      <c r="B10" s="8" t="inlineStr">
        <is>
          <t>Contexto</t>
        </is>
      </c>
      <c r="C10" s="36" t="inlineStr">
        <is>
          <t>A Squad G8 precisa construir o sistema de origem (OLTP) que sustenta as consultas analíticas sobre 4 anos completos de gastos da Cota Parlamentar (CEAP, 2023–2026). Os dados brutos chegam em CSVs com ~920 mil linhas e inconsistências típicas de dados públicos (estornos com valores negativos, datas vazias em telefonia e lideranças sem CPF). Era necessário definir se o esquema seria desnormalizado ou normalizado, e se adotaria CRUD ou insert-only.</t>
        </is>
      </c>
      <c r="D10" s="31" t="inlineStr">
        <is>
          <t>O que está acontecendo no projeto que torna a decisão necessária. Sem contexto o ADR não serve para nada daqui a seis meses.</t>
        </is>
      </c>
    </row>
    <row r="11" ht="51.75" customHeight="1" s="33">
      <c r="A11" s="29" t="n">
        <v>6</v>
      </c>
      <c r="B11" s="8" t="inlineStr">
        <is>
          <t>Requisitos e restrições</t>
        </is>
      </c>
      <c r="C11" s="36" t="inlineStr">
        <is>
          <t>Volume de ~920 mil registros (265 MB CSV); latência &lt; 150 ms para busca transacional pontual; consistência ACID estrita para auditoria de gastos públicos; stack 100% livre rodando em Docker Compose local; reprodutibilidade total a partir de máquina limpa sem download manual.</t>
        </is>
      </c>
      <c r="D11" s="31" t="inlineStr">
        <is>
          <t>Volume esperado, latência exigida, garantias necessárias, prazo, custo, o que a equipe já sabe usar.</t>
        </is>
      </c>
    </row>
    <row r="12" ht="39.75" customHeight="1" s="33">
      <c r="A12" s="29" t="n">
        <v>7</v>
      </c>
      <c r="B12" s="8" t="inlineStr">
        <is>
          <t>Padrões de acesso previstos</t>
        </is>
      </c>
      <c r="C12" s="36" t="inlineStr">
        <is>
          <t>Consultas frequentes por parlamentar, partido e período; somatórios e médias mensais de valor líquido; rankings de fornecedores recebedores; consultas de auditoria temporal (emissão em fins de semana).</t>
        </is>
      </c>
      <c r="D12" s="31" t="inlineStr">
        <is>
          <t>As consultas mais frequentes (traga da aba 3 Modelos).</t>
        </is>
      </c>
    </row>
    <row r="13" ht="39.75" customHeight="1" s="33">
      <c r="A13" s="29" t="n">
        <v>8</v>
      </c>
      <c r="B13" s="8" t="inlineStr">
        <is>
          <t>Decisão</t>
        </is>
      </c>
      <c r="C13" s="36" t="inlineStr">
        <is>
          <t>Modelar a origem no PostgreSQL 16 com tabelas normalizadas para dimensões (parlamentar, mandato, fornecedor, categoria) e padrão estritamente insert-only na tabela de fatos/transações despesa_ceap, diferenciando explicitamente data de emissão, data de compensação financeira e data de ingestão.</t>
        </is>
      </c>
      <c r="D13" s="31" t="inlineStr">
        <is>
          <t>O que foi decidido, em uma frase afirmativa.</t>
        </is>
      </c>
    </row>
    <row r="14" ht="39.75" customHeight="1" s="33">
      <c r="A14" s="29" t="n">
        <v>9</v>
      </c>
      <c r="B14" s="8" t="inlineStr">
        <is>
          <t>Alternativa 1 considerada</t>
        </is>
      </c>
      <c r="C14" s="36" t="inlineStr">
        <is>
          <t>Tabela Única Desnormalizada (Flat Table / Cópia bruta do CSV da Câmara)</t>
        </is>
      </c>
      <c r="D14" s="31" t="inlineStr">
        <is>
          <t>Nome da alternativa.</t>
        </is>
      </c>
    </row>
    <row r="15" ht="39.75" customHeight="1" s="33">
      <c r="A15" s="29" t="n">
        <v>10</v>
      </c>
      <c r="B15" s="32" t="inlineStr">
        <is>
          <t xml:space="preserve">  → prós da alternativa 1</t>
        </is>
      </c>
      <c r="C15" s="36" t="inlineStr">
        <is>
          <t>Ingestão direta mais rápida e sem necessidade de scripts de resolução de chave estrangeira.</t>
        </is>
      </c>
      <c r="D15" s="31" t="inlineStr">
        <is>
          <t>Onde ela ganharia.</t>
        </is>
      </c>
    </row>
    <row r="16" ht="39.75" customHeight="1" s="33">
      <c r="A16" s="29" t="n">
        <v>11</v>
      </c>
      <c r="B16" s="32" t="inlineStr">
        <is>
          <t xml:space="preserve">  → contras da alternativa 1</t>
        </is>
      </c>
      <c r="C16" s="36" t="inlineStr">
        <is>
          <t>Esquema sem restrição ('tudo TEXT'), desperdício maciço de disco com redundância de razões sociais e nomes de parlamentares, e ausência total de validação contábil.</t>
        </is>
      </c>
      <c r="D16" s="31" t="inlineStr">
        <is>
          <t>Onde ela perde para a escolhida.</t>
        </is>
      </c>
    </row>
    <row r="17" ht="39.75" customHeight="1" s="33">
      <c r="A17" s="29" t="n">
        <v>12</v>
      </c>
      <c r="B17" s="32" t="inlineStr">
        <is>
          <t xml:space="preserve">  → por que não foi escolhida</t>
        </is>
      </c>
      <c r="C17" s="36" t="inlineStr">
        <is>
          <t>Viola as diretrizes de maturidade e qualidade de dados da disciplina, empurrando o problema de integridade para as entregas futuras.</t>
        </is>
      </c>
      <c r="D17" s="31" t="inlineStr">
        <is>
          <t>O critério concreto que a eliminou.</t>
        </is>
      </c>
    </row>
    <row r="18" ht="39.75" customHeight="1" s="33">
      <c r="A18" s="29" t="n">
        <v>13</v>
      </c>
      <c r="B18" s="8" t="inlineStr">
        <is>
          <t>Alternativa 2 considerada</t>
        </is>
      </c>
      <c r="C18" s="36" t="inlineStr">
        <is>
          <t>Modelagem Relacional CRUD com Sobrescrita (UPDATE)</t>
        </is>
      </c>
      <c r="D18" s="31" t="inlineStr">
        <is>
          <t>Nome da alternativa.</t>
        </is>
      </c>
    </row>
    <row r="19" ht="39.75" customHeight="1" s="33">
      <c r="A19" s="29" t="n">
        <v>14</v>
      </c>
      <c r="B19" s="32" t="inlineStr">
        <is>
          <t xml:space="preserve">  → prós da alternativa 2</t>
        </is>
      </c>
      <c r="C19" s="36" t="inlineStr">
        <is>
          <t>Menor volume acumulado em caso de retificações cadastrais de despesas.</t>
        </is>
      </c>
      <c r="D19" s="31" t="inlineStr">
        <is>
          <t>Onde ela ganharia.</t>
        </is>
      </c>
    </row>
    <row r="20" ht="39.75" customHeight="1" s="33">
      <c r="A20" s="29" t="n">
        <v>15</v>
      </c>
      <c r="B20" s="32" t="inlineStr">
        <is>
          <t xml:space="preserve">  → contras da alternativa 2</t>
        </is>
      </c>
      <c r="C20" s="36" t="inlineStr">
        <is>
          <t>Comandos UPDATE destroem o valor e a data original da prestação de contas, impedindo auditorias retrospectivas de glosas e devoluções, além de complicar o CDC na E2.</t>
        </is>
      </c>
      <c r="D20" s="31" t="inlineStr">
        <is>
          <t>Onde ela perde para a escolhida.</t>
        </is>
      </c>
    </row>
    <row r="21" ht="39.75" customHeight="1" s="33">
      <c r="A21" s="29" t="n">
        <v>16</v>
      </c>
      <c r="B21" s="32" t="inlineStr">
        <is>
          <t xml:space="preserve">  → por que não foi escolhida</t>
        </is>
      </c>
      <c r="C21" s="36" t="inlineStr">
        <is>
          <t>Despesas contábeis e fiscais são imutáveis por definição legal (livro-razão contábil); retificações devem ser registradas como estornos ou campos de restituição, nunca sobrescritas.</t>
        </is>
      </c>
      <c r="D21" s="31" t="inlineStr">
        <is>
          <t>O critério concreto que a eliminou.</t>
        </is>
      </c>
    </row>
    <row r="22" ht="39.75" customHeight="1" s="33">
      <c r="A22" s="29" t="n">
        <v>17</v>
      </c>
      <c r="B22" s="8" t="inlineStr">
        <is>
          <t>Evidência que sustenta a decisão</t>
        </is>
      </c>
      <c r="C22" s="36" t="inlineStr">
        <is>
          <t>Medição empírica no PostgreSQL 16: a carga dos 4 anos (921.280 linhas) levou apenas 110,7 segundos com staging COPY; o espaço ocupado foi reduzido para ~198 MB de dados limpos; a consulta agregada indexada respondeu em 115 ms contra 820 ms da tabela flat.</t>
        </is>
      </c>
      <c r="D22" s="31" t="inlineStr">
        <is>
          <t>Medição, prova de conceito, benchmark ou fonte consultada. Opinião não é evidência.</t>
        </is>
      </c>
    </row>
    <row r="23" ht="39.75" customHeight="1" s="33">
      <c r="A23" s="29" t="n">
        <v>18</v>
      </c>
      <c r="B23" s="8" t="inlineStr">
        <is>
          <t>Consequências positivas</t>
        </is>
      </c>
      <c r="C23" s="36" t="inlineStr">
        <is>
          <t>Consistência contábil garantida pelo SGBD; histórico temporal preservado; banco transacional imediatamente compatível com replicação lógica/CDC para a Entrega E2.</t>
        </is>
      </c>
      <c r="D23" s="31" t="inlineStr">
        <is>
          <t>O que fica mais fácil a partir de agora.</t>
        </is>
      </c>
    </row>
    <row r="24" ht="39.75" customHeight="1" s="33">
      <c r="A24" s="29" t="n">
        <v>19</v>
      </c>
      <c r="B24" s="8" t="inlineStr">
        <is>
          <t>Consequências negativas</t>
        </is>
      </c>
      <c r="C24" s="36" t="inlineStr">
        <is>
          <t>Exige pipeline de ingestão em dois passos (tabela staging unlogged intermediária) e necessidade de índices compostos para manter o desempenho de leitura.</t>
        </is>
      </c>
      <c r="D24" s="31" t="inlineStr">
        <is>
          <t>A dor aceita conscientemente. Todo ADR sem essa parte está incompleto.</t>
        </is>
      </c>
    </row>
    <row r="25" ht="39.75" customHeight="1" s="33">
      <c r="A25" s="29" t="n">
        <v>20</v>
      </c>
      <c r="B25" s="8" t="inlineStr">
        <is>
          <t>Riscos assumidos</t>
        </is>
      </c>
      <c r="C25" s="36" t="inlineStr">
        <is>
          <t>Possibilidade de fornecedores não informados ou grafias variantes de razão social exigirem tratamento de limpeza contínuo nas etapas analíticas subsequentes.</t>
        </is>
      </c>
      <c r="D25" s="31" t="inlineStr">
        <is>
          <t>Traga da aba Riscos os que decorrem desta decisão.</t>
        </is>
      </c>
    </row>
    <row r="26" ht="39.75" customHeight="1" s="33">
      <c r="A26" s="29" t="n">
        <v>21</v>
      </c>
      <c r="B26" s="8" t="inlineStr">
        <is>
          <t>Como e quando revisitar</t>
        </is>
      </c>
      <c r="C26" s="36" t="inlineStr">
        <is>
          <t>Revisar a modelagem caso o volume ultrapasse 200.000 notas fiscais/mês, justificando particionamento declarativo nativo (declarative table partitioning) por ano/mês de competência, ou se o tempo de ingestão em lote ultrapassar 120 segundos.</t>
        </is>
      </c>
      <c r="D26" s="31" t="inlineStr">
        <is>
          <t>Que sinal (volume, latência, custo, nova exigência) fará a equipe reabrir esta decisão.</t>
        </is>
      </c>
    </row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3">
    <mergeCell ref="A1:D1"/>
    <mergeCell ref="A4:D4"/>
    <mergeCell ref="A2:D2"/>
  </mergeCells>
  <pageMargins left="0.75" right="0.75" top="1" bottom="1" header="0" footer="0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 6 — Matriz de Riscos do Pipeline de Dados</t>
        </is>
      </c>
    </row>
    <row r="2">
      <c r="A2" t="inlineStr">
        <is>
          <t>Mapeamento dos pontos de falha que podem derrubar o pipeline e respectivas mitigações.</t>
        </is>
      </c>
    </row>
    <row r="4">
      <c r="A4" t="inlineStr">
        <is>
          <t>Linha 6 = exemplo fictício (não apague). Preencha a partir da linha 7.</t>
        </is>
      </c>
    </row>
    <row r="5">
      <c r="A5" s="38" t="inlineStr">
        <is>
          <t>Nº</t>
        </is>
      </c>
      <c r="B5" s="38" t="inlineStr">
        <is>
          <t>Risco mapeado</t>
        </is>
      </c>
      <c r="C5" s="38" t="inlineStr">
        <is>
          <t>Probabilidade
(alta | média | baixa)</t>
        </is>
      </c>
      <c r="D5" s="38" t="inlineStr">
        <is>
          <t>Impacto
(alto | médio | baixo)</t>
        </is>
      </c>
      <c r="E5" s="38" t="inlineStr">
        <is>
          <t>Mitigação adotada</t>
        </is>
      </c>
      <c r="F5" s="38" t="inlineStr">
        <is>
          <t>Responsável</t>
        </is>
      </c>
      <c r="G5" s="38" t="inlineStr">
        <is>
          <t>Monitoramento</t>
        </is>
      </c>
    </row>
    <row r="6">
      <c r="A6" t="inlineStr">
        <is>
          <t>1</t>
        </is>
      </c>
      <c r="B6" t="inlineStr">
        <is>
          <t>Queda do portal de dados abertos</t>
        </is>
      </c>
      <c r="C6" t="inlineStr">
        <is>
          <t>média</t>
        </is>
      </c>
      <c r="D6" t="inlineStr">
        <is>
          <t>alto</t>
        </is>
      </c>
      <c r="E6" t="inlineStr">
        <is>
          <t>Cache local em disco dos arquivos já baixados</t>
        </is>
      </c>
      <c r="F6" t="inlineStr">
        <is>
          <t>Equipe</t>
        </is>
      </c>
      <c r="G6" t="inlineStr">
        <is>
          <t>Timeout e retry automático</t>
        </is>
      </c>
    </row>
    <row r="7">
      <c r="A7" s="37" t="n">
        <v>1</v>
      </c>
      <c r="B7" s="36" t="inlineStr">
        <is>
          <t>Alteração ou indisponibilidade da URL de download da Câmara dos Deputados</t>
        </is>
      </c>
      <c r="C7" s="37" t="inlineStr">
        <is>
          <t>média</t>
        </is>
      </c>
      <c r="D7" s="37" t="inlineStr">
        <is>
          <t>alto</t>
        </is>
      </c>
      <c r="E7" s="36" t="inlineStr">
        <is>
          <t>Script download_data.py possui fallback para ler os CSVs locais em cache na pasta base-dados caso a conexão externa falhe.</t>
        </is>
      </c>
      <c r="F7" s="36" t="inlineStr">
        <is>
          <t>Squad G8</t>
        </is>
      </c>
      <c r="G7" s="36" t="inlineStr">
        <is>
          <t>Verificação de status HTTP e hash</t>
        </is>
      </c>
    </row>
    <row r="8">
      <c r="A8" s="37" t="n">
        <v>2</v>
      </c>
      <c r="B8" s="36" t="inlineStr">
        <is>
          <t>Inconsistência nos tipos de dados brutos (datas vazias em ramal telefônico e valores negativos em passagens)</t>
        </is>
      </c>
      <c r="C8" s="37" t="inlineStr">
        <is>
          <t>alta</t>
        </is>
      </c>
      <c r="D8" s="37" t="inlineStr">
        <is>
          <t>médio</t>
        </is>
      </c>
      <c r="E8" s="36" t="inlineStr">
        <is>
          <t>Esquema físico com tipos flexíveis nas exceções (datas anuláveis) e constraints que aceitam cancelamentos contábeis reais.</t>
        </is>
      </c>
      <c r="F8" s="36" t="inlineStr">
        <is>
          <t>Squad G8</t>
        </is>
      </c>
      <c r="G8" s="36" t="inlineStr">
        <is>
          <t>Validação em staging antes da inserção</t>
        </is>
      </c>
    </row>
    <row r="9">
      <c r="A9" s="37" t="n">
        <v>3</v>
      </c>
      <c r="B9" s="36" t="inlineStr">
        <is>
          <t>Degradação do tempo de carga em máquina limpa devido ao volume de ~920 mil registros</t>
        </is>
      </c>
      <c r="C9" s="37" t="inlineStr">
        <is>
          <t>baixa</t>
        </is>
      </c>
      <c r="D9" s="37" t="inlineStr">
        <is>
          <t>médio</t>
        </is>
      </c>
      <c r="E9" s="36" t="inlineStr">
        <is>
          <t>Uso de tabela UNLOGGED no PostgreSQL e ingestão em massa via COPY direto do arquivo em lote, atingindo carga em menos de 2 minutos.</t>
        </is>
      </c>
      <c r="F9" s="36" t="inlineStr">
        <is>
          <t>Squad G8</t>
        </is>
      </c>
      <c r="G9" s="36" t="inlineStr">
        <is>
          <t>Métrica de tempo nos logs do container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2026-09-27T06:40:07Z</dcterms:created>
  <dcterms:modified xsi:type="dcterms:W3CDTF">2026-09-27T06:40:07Z</dcterms:modified>
</cp:coreProperties>
</file>